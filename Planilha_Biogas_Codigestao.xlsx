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esktop\PROJETOS 2\"/>
    </mc:Choice>
  </mc:AlternateContent>
  <xr:revisionPtr revIDLastSave="0" documentId="8_{46A7351D-AF2E-4052-8204-D11F704B8C36}" xr6:coauthVersionLast="45" xr6:coauthVersionMax="45" xr10:uidLastSave="{00000000-0000-0000-0000-000000000000}"/>
  <bookViews>
    <workbookView xWindow="2580" yWindow="2580" windowWidth="17280" windowHeight="8880" xr2:uid="{D28DAB3C-72D2-43C4-BDCB-FB47FE3D9601}"/>
  </bookViews>
  <sheets>
    <sheet name="Premissas" sheetId="23" r:id="rId1"/>
    <sheet name="Calculos_Massa" sheetId="22" r:id="rId2"/>
    <sheet name="Fechamento_Elementar" sheetId="21" r:id="rId3"/>
    <sheet name="Correntes_PFD" sheetId="20" r:id="rId4"/>
    <sheet name="Balanco_Energia" sheetId="19" r:id="rId5"/>
    <sheet name="Fermentacao" sheetId="18" r:id="rId6"/>
    <sheet name="Verificacoes" sheetId="17" r:id="rId7"/>
    <sheet name="Dicionario_Variaveis" sheetId="16" r:id="rId8"/>
    <sheet name="Conceitos" sheetId="15" r:id="rId9"/>
    <sheet name="Utilidades" sheetId="14" r:id="rId10"/>
    <sheet name="Custos" sheetId="13" r:id="rId11"/>
    <sheet name="PFD_Visual" sheetId="12" r:id="rId12"/>
    <sheet name="Resumo_Executivo" sheetId="11" r:id="rId13"/>
    <sheet name="KPIs" sheetId="10" r:id="rId14"/>
    <sheet name="Dashboard" sheetId="9" r:id="rId15"/>
    <sheet name="Secagem_Digestato" sheetId="8" r:id="rId16"/>
    <sheet name="Dimensionamento" sheetId="7" r:id="rId17"/>
    <sheet name="Materiais" sheetId="6" r:id="rId18"/>
    <sheet name="Otimizacao" sheetId="5" r:id="rId19"/>
    <sheet name="CAPEX" sheetId="4" r:id="rId20"/>
    <sheet name="OPEX" sheetId="3" r:id="rId21"/>
    <sheet name="Fluxo_Caixa" sheetId="2" r:id="rId22"/>
    <sheet name="Indicadores_Econ" sheetId="1" r:id="rId2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3" i="1"/>
  <c r="B12" i="1"/>
  <c r="B10" i="1"/>
  <c r="B9" i="1"/>
  <c r="B8" i="1"/>
  <c r="B7" i="1"/>
  <c r="F25" i="2"/>
  <c r="E25" i="2"/>
  <c r="D25" i="2"/>
  <c r="C25" i="2"/>
  <c r="F24" i="2"/>
  <c r="E24" i="2"/>
  <c r="D24" i="2"/>
  <c r="C24" i="2"/>
  <c r="F23" i="2"/>
  <c r="E23" i="2"/>
  <c r="D23" i="2"/>
  <c r="C23" i="2"/>
  <c r="F22" i="2"/>
  <c r="E22" i="2"/>
  <c r="D22" i="2"/>
  <c r="C22" i="2"/>
  <c r="F21" i="2"/>
  <c r="E21" i="2"/>
  <c r="D21" i="2"/>
  <c r="C21" i="2"/>
  <c r="F20" i="2"/>
  <c r="E20" i="2"/>
  <c r="D20" i="2"/>
  <c r="C20" i="2"/>
  <c r="F19" i="2"/>
  <c r="E19" i="2"/>
  <c r="D19" i="2"/>
  <c r="C19" i="2"/>
  <c r="F18" i="2"/>
  <c r="E18" i="2"/>
  <c r="D18" i="2"/>
  <c r="C18" i="2"/>
  <c r="F17" i="2"/>
  <c r="E17" i="2"/>
  <c r="D17" i="2"/>
  <c r="C17" i="2"/>
  <c r="F16" i="2"/>
  <c r="E16" i="2"/>
  <c r="D16" i="2"/>
  <c r="C16" i="2"/>
  <c r="F15" i="2"/>
  <c r="E15" i="2"/>
  <c r="D15" i="2"/>
  <c r="C15" i="2"/>
  <c r="F14" i="2"/>
  <c r="E14" i="2"/>
  <c r="D14" i="2"/>
  <c r="C14" i="2"/>
  <c r="F13" i="2"/>
  <c r="E13" i="2"/>
  <c r="D13" i="2"/>
  <c r="C13" i="2"/>
  <c r="F12" i="2"/>
  <c r="E12" i="2"/>
  <c r="D12" i="2"/>
  <c r="C12" i="2"/>
  <c r="F11" i="2"/>
  <c r="E11" i="2"/>
  <c r="D11" i="2"/>
  <c r="C11" i="2"/>
  <c r="F10" i="2"/>
  <c r="E10" i="2"/>
  <c r="D10" i="2"/>
  <c r="C10" i="2"/>
  <c r="F9" i="2"/>
  <c r="E9" i="2"/>
  <c r="D9" i="2"/>
  <c r="C9" i="2"/>
  <c r="F8" i="2"/>
  <c r="E8" i="2"/>
  <c r="D8" i="2"/>
  <c r="C8" i="2"/>
  <c r="F7" i="2"/>
  <c r="E7" i="2"/>
  <c r="D7" i="2"/>
  <c r="C7" i="2"/>
  <c r="F6" i="2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E6" i="2"/>
  <c r="D6" i="2"/>
  <c r="C6" i="2"/>
  <c r="G5" i="2"/>
  <c r="F5" i="2"/>
  <c r="E5" i="2"/>
  <c r="B5" i="2"/>
  <c r="E24" i="3"/>
  <c r="E22" i="3"/>
  <c r="E20" i="3"/>
  <c r="B20" i="3"/>
  <c r="E19" i="3"/>
  <c r="B19" i="3"/>
  <c r="E18" i="3"/>
  <c r="D18" i="3"/>
  <c r="B18" i="3"/>
  <c r="E13" i="3"/>
  <c r="E11" i="3"/>
  <c r="D11" i="3"/>
  <c r="B11" i="3"/>
  <c r="E10" i="3"/>
  <c r="D10" i="3"/>
  <c r="B10" i="3"/>
  <c r="E9" i="3"/>
  <c r="D9" i="3"/>
  <c r="B9" i="3"/>
  <c r="E8" i="3"/>
  <c r="D8" i="3"/>
  <c r="B8" i="3"/>
  <c r="E7" i="3"/>
  <c r="D7" i="3"/>
  <c r="B7" i="3"/>
  <c r="E6" i="3"/>
  <c r="D6" i="3"/>
  <c r="B6" i="3"/>
  <c r="E5" i="3"/>
  <c r="D5" i="3"/>
  <c r="B5" i="3"/>
  <c r="D24" i="4"/>
  <c r="D22" i="4"/>
  <c r="D21" i="4"/>
  <c r="D18" i="4"/>
  <c r="D16" i="4"/>
  <c r="D15" i="4"/>
  <c r="D14" i="4"/>
  <c r="C14" i="4"/>
  <c r="D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F24" i="5"/>
  <c r="E24" i="5"/>
  <c r="F23" i="5"/>
  <c r="E23" i="5"/>
  <c r="E18" i="5"/>
  <c r="D18" i="5"/>
  <c r="B18" i="5"/>
  <c r="E17" i="5"/>
  <c r="D17" i="5"/>
  <c r="B17" i="5"/>
  <c r="E16" i="5"/>
  <c r="D16" i="5"/>
  <c r="B16" i="5"/>
  <c r="E15" i="5"/>
  <c r="D15" i="5"/>
  <c r="B15" i="5"/>
  <c r="J10" i="5"/>
  <c r="I10" i="5"/>
  <c r="H10" i="5"/>
  <c r="G10" i="5"/>
  <c r="F10" i="5"/>
  <c r="E10" i="5"/>
  <c r="J9" i="5"/>
  <c r="I9" i="5"/>
  <c r="H9" i="5"/>
  <c r="G9" i="5"/>
  <c r="F9" i="5"/>
  <c r="E9" i="5"/>
  <c r="J8" i="5"/>
  <c r="I8" i="5"/>
  <c r="H8" i="5"/>
  <c r="G8" i="5"/>
  <c r="F8" i="5"/>
  <c r="E8" i="5"/>
  <c r="J7" i="5"/>
  <c r="I7" i="5"/>
  <c r="H7" i="5"/>
  <c r="G7" i="5"/>
  <c r="F7" i="5"/>
  <c r="E7" i="5"/>
  <c r="J6" i="5"/>
  <c r="I6" i="5"/>
  <c r="H6" i="5"/>
  <c r="G6" i="5"/>
  <c r="F6" i="5"/>
  <c r="E6" i="5"/>
  <c r="E41" i="7"/>
  <c r="E39" i="7"/>
  <c r="E37" i="7"/>
  <c r="E36" i="7"/>
  <c r="E35" i="7"/>
  <c r="H33" i="7"/>
  <c r="E31" i="7"/>
  <c r="E30" i="7"/>
  <c r="E29" i="7"/>
  <c r="E28" i="7"/>
  <c r="E27" i="7"/>
  <c r="H26" i="7"/>
  <c r="E26" i="7"/>
  <c r="H25" i="7"/>
  <c r="E23" i="7"/>
  <c r="E22" i="7"/>
  <c r="H21" i="7"/>
  <c r="E21" i="7"/>
  <c r="E20" i="7"/>
  <c r="E19" i="7"/>
  <c r="E18" i="7"/>
  <c r="E17" i="7"/>
  <c r="H16" i="7"/>
  <c r="E16" i="7"/>
  <c r="E15" i="7"/>
  <c r="E14" i="7"/>
  <c r="E13" i="7"/>
  <c r="E12" i="7"/>
  <c r="E11" i="7"/>
  <c r="E10" i="7"/>
  <c r="H9" i="7"/>
  <c r="E9" i="7"/>
  <c r="E8" i="7"/>
  <c r="E7" i="7"/>
  <c r="D7" i="7"/>
  <c r="E6" i="7"/>
  <c r="H5" i="7"/>
  <c r="E5" i="7"/>
  <c r="R26" i="9"/>
  <c r="R25" i="9"/>
  <c r="R24" i="9"/>
  <c r="R23" i="9"/>
  <c r="R21" i="9"/>
  <c r="R20" i="9"/>
  <c r="R19" i="9"/>
  <c r="R17" i="9"/>
  <c r="R16" i="9"/>
  <c r="R15" i="9"/>
  <c r="R14" i="9"/>
  <c r="R12" i="9"/>
  <c r="R11" i="9"/>
  <c r="R10" i="9"/>
  <c r="R9" i="9"/>
  <c r="R7" i="9"/>
  <c r="R6" i="9"/>
  <c r="R4" i="9"/>
  <c r="R3" i="9"/>
  <c r="R2" i="9"/>
  <c r="A17" i="9"/>
  <c r="A16" i="9"/>
  <c r="A15" i="9"/>
  <c r="M9" i="9"/>
  <c r="I9" i="9"/>
  <c r="E9" i="9"/>
  <c r="A9" i="9"/>
  <c r="M4" i="9"/>
  <c r="I4" i="9"/>
  <c r="E4" i="9"/>
  <c r="A4" i="9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A25" i="11"/>
  <c r="A24" i="11"/>
  <c r="A23" i="11"/>
  <c r="A22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B15" i="8"/>
  <c r="B14" i="8"/>
  <c r="B13" i="8"/>
  <c r="B12" i="8"/>
  <c r="B11" i="8"/>
  <c r="B10" i="8"/>
  <c r="B9" i="8"/>
  <c r="B8" i="8"/>
  <c r="B7" i="8"/>
  <c r="B6" i="8"/>
  <c r="B5" i="8"/>
  <c r="C30" i="12"/>
  <c r="B30" i="12"/>
  <c r="A30" i="12"/>
  <c r="C29" i="12"/>
  <c r="B29" i="12"/>
  <c r="A29" i="12"/>
  <c r="C28" i="12"/>
  <c r="B28" i="12"/>
  <c r="A28" i="12"/>
  <c r="C27" i="12"/>
  <c r="B27" i="12"/>
  <c r="A27" i="12"/>
  <c r="C26" i="12"/>
  <c r="B26" i="12"/>
  <c r="A26" i="12"/>
  <c r="C25" i="12"/>
  <c r="B25" i="12"/>
  <c r="A25" i="12"/>
  <c r="C24" i="12"/>
  <c r="B24" i="12"/>
  <c r="A24" i="12"/>
  <c r="C23" i="12"/>
  <c r="B23" i="12"/>
  <c r="A23" i="12"/>
  <c r="C22" i="12"/>
  <c r="B22" i="12"/>
  <c r="A22" i="12"/>
  <c r="C21" i="12"/>
  <c r="B21" i="12"/>
  <c r="A21" i="12"/>
  <c r="E11" i="13"/>
  <c r="E9" i="13"/>
  <c r="D9" i="13"/>
  <c r="B9" i="13"/>
  <c r="E8" i="13"/>
  <c r="D8" i="13"/>
  <c r="B8" i="13"/>
  <c r="E7" i="13"/>
  <c r="D7" i="13"/>
  <c r="B7" i="13"/>
  <c r="E6" i="13"/>
  <c r="D6" i="13"/>
  <c r="B6" i="13"/>
  <c r="E5" i="13"/>
  <c r="D5" i="13"/>
  <c r="B5" i="13"/>
  <c r="D9" i="14"/>
  <c r="B9" i="14"/>
  <c r="D8" i="14"/>
  <c r="B8" i="14"/>
  <c r="D7" i="14"/>
  <c r="B7" i="14"/>
  <c r="D6" i="14"/>
  <c r="B6" i="14"/>
  <c r="D5" i="14"/>
  <c r="B5" i="14"/>
  <c r="E14" i="17"/>
  <c r="C14" i="17"/>
  <c r="E13" i="17"/>
  <c r="C13" i="17"/>
  <c r="E12" i="17"/>
  <c r="C12" i="17"/>
  <c r="E11" i="17"/>
  <c r="C11" i="17"/>
  <c r="E10" i="17"/>
  <c r="C10" i="17"/>
  <c r="E9" i="17"/>
  <c r="C9" i="17"/>
  <c r="E8" i="17"/>
  <c r="C8" i="17"/>
  <c r="E7" i="17"/>
  <c r="C7" i="17"/>
  <c r="E6" i="17"/>
  <c r="C6" i="17"/>
  <c r="E5" i="17"/>
  <c r="C5" i="17"/>
  <c r="C22" i="18"/>
  <c r="B22" i="18"/>
  <c r="C21" i="18"/>
  <c r="B21" i="18"/>
  <c r="C20" i="18"/>
  <c r="B20" i="18"/>
  <c r="B16" i="19"/>
  <c r="B15" i="19"/>
  <c r="B14" i="19"/>
  <c r="B13" i="19"/>
  <c r="B12" i="19"/>
  <c r="B11" i="19"/>
  <c r="B10" i="19"/>
  <c r="B9" i="19"/>
  <c r="B8" i="19"/>
  <c r="B7" i="19"/>
  <c r="B6" i="19"/>
  <c r="B5" i="19"/>
  <c r="F14" i="20"/>
  <c r="C14" i="20"/>
  <c r="F13" i="20"/>
  <c r="E13" i="20"/>
  <c r="D13" i="20"/>
  <c r="C13" i="20"/>
  <c r="F12" i="20"/>
  <c r="C12" i="20"/>
  <c r="F11" i="20"/>
  <c r="C11" i="20"/>
  <c r="F10" i="20"/>
  <c r="E10" i="20"/>
  <c r="D10" i="20"/>
  <c r="C10" i="20"/>
  <c r="F9" i="20"/>
  <c r="C9" i="20"/>
  <c r="F8" i="20"/>
  <c r="E8" i="20"/>
  <c r="D8" i="20"/>
  <c r="C8" i="20"/>
  <c r="F7" i="20"/>
  <c r="E7" i="20"/>
  <c r="D7" i="20"/>
  <c r="C7" i="20"/>
  <c r="F6" i="20"/>
  <c r="E6" i="20"/>
  <c r="D6" i="20"/>
  <c r="C6" i="20"/>
  <c r="F5" i="20"/>
  <c r="E5" i="20"/>
  <c r="D5" i="20"/>
  <c r="C5" i="20"/>
  <c r="B15" i="21"/>
  <c r="B12" i="21"/>
  <c r="G10" i="21"/>
  <c r="F10" i="21"/>
  <c r="E10" i="21"/>
  <c r="D10" i="21"/>
  <c r="C10" i="21"/>
  <c r="B10" i="21"/>
  <c r="G9" i="21"/>
  <c r="E9" i="21"/>
  <c r="D9" i="21"/>
  <c r="C9" i="21"/>
  <c r="B9" i="21"/>
  <c r="G8" i="21"/>
  <c r="E8" i="21"/>
  <c r="D8" i="21"/>
  <c r="C8" i="21"/>
  <c r="B8" i="21"/>
  <c r="G7" i="21"/>
  <c r="F7" i="21"/>
  <c r="E7" i="21"/>
  <c r="D7" i="21"/>
  <c r="C7" i="21"/>
  <c r="B7" i="21"/>
  <c r="G6" i="21"/>
  <c r="F6" i="21"/>
  <c r="E6" i="21"/>
  <c r="D6" i="21"/>
  <c r="C6" i="21"/>
  <c r="B6" i="21"/>
  <c r="G5" i="21"/>
  <c r="F5" i="21"/>
  <c r="E5" i="21"/>
  <c r="D5" i="21"/>
  <c r="C5" i="21"/>
  <c r="B5" i="21"/>
  <c r="B38" i="22"/>
  <c r="B37" i="22"/>
  <c r="B36" i="22"/>
  <c r="B35" i="22"/>
  <c r="B34" i="22"/>
  <c r="B33" i="22"/>
  <c r="B32" i="22"/>
  <c r="B31" i="22"/>
  <c r="B30" i="22"/>
  <c r="B29" i="22"/>
  <c r="B28" i="22"/>
  <c r="B27" i="22"/>
  <c r="B26" i="22"/>
  <c r="B25" i="22"/>
  <c r="B24" i="22"/>
  <c r="B23" i="22"/>
  <c r="B22" i="22"/>
  <c r="B21" i="22"/>
  <c r="B20" i="22"/>
  <c r="B19" i="22"/>
  <c r="B18" i="22"/>
  <c r="B17" i="22"/>
  <c r="B16" i="22"/>
  <c r="B15" i="22"/>
  <c r="B14" i="22"/>
  <c r="B13" i="22"/>
  <c r="B12" i="22"/>
  <c r="B11" i="22"/>
  <c r="B10" i="22"/>
  <c r="B9" i="22"/>
  <c r="B8" i="22"/>
  <c r="B7" i="22"/>
  <c r="B6" i="22"/>
  <c r="B5" i="22"/>
  <c r="E32" i="7"/>
  <c r="E33" i="7"/>
  <c r="E34" i="7"/>
  <c r="E24" i="7"/>
  <c r="E38" i="7"/>
  <c r="C13" i="4"/>
  <c r="E40" i="7"/>
  <c r="E25" i="7"/>
</calcChain>
</file>

<file path=xl/sharedStrings.xml><?xml version="1.0" encoding="utf-8"?>
<sst xmlns="http://schemas.openxmlformats.org/spreadsheetml/2006/main" count="1460" uniqueCount="1068">
  <si>
    <t>Premissas do modelo - Biogas por Codigestao Anaerobia</t>
  </si>
  <si>
    <t>Todos os valores sao editaveis. A planilha recalcula automaticamente.</t>
  </si>
  <si>
    <t>ID</t>
  </si>
  <si>
    <t>Parametro</t>
  </si>
  <si>
    <t>Valor</t>
  </si>
  <si>
    <t>Unidade</t>
  </si>
  <si>
    <t>Fonte</t>
  </si>
  <si>
    <t>Mini-resumo didatico</t>
  </si>
  <si>
    <t>P01</t>
  </si>
  <si>
    <t>Volume total de mistura</t>
  </si>
  <si>
    <t>m3/dia</t>
  </si>
  <si>
    <t>Base de calculo</t>
  </si>
  <si>
    <t>Quanto liquido entra no digestor por dia.</t>
  </si>
  <si>
    <t>P02</t>
  </si>
  <si>
    <t>Fracao volumetrica lodo</t>
  </si>
  <si>
    <t>-</t>
  </si>
  <si>
    <t>Premissa</t>
  </si>
  <si>
    <t>Metade do volume vem do lodo de esgoto.</t>
  </si>
  <si>
    <t>P03</t>
  </si>
  <si>
    <t>Fracao volumetrica vinhaca</t>
  </si>
  <si>
    <t>30% do volume e vinhaca de cana.</t>
  </si>
  <si>
    <t>P04</t>
  </si>
  <si>
    <t>Fracao volumetrica residuo organico</t>
  </si>
  <si>
    <t>20% do volume sao residuos organicos.</t>
  </si>
  <si>
    <t>P05</t>
  </si>
  <si>
    <t>Densidade lodo</t>
  </si>
  <si>
    <t>kg/m3</t>
  </si>
  <si>
    <t>PROSAB</t>
  </si>
  <si>
    <t>Massa por litro do lodo.</t>
  </si>
  <si>
    <t>P06</t>
  </si>
  <si>
    <t>Densidade vinhaca</t>
  </si>
  <si>
    <t>RVQ 2024</t>
  </si>
  <si>
    <t>Massa por litro da vinhaca.</t>
  </si>
  <si>
    <t>P07</t>
  </si>
  <si>
    <t>Densidade residuo organico</t>
  </si>
  <si>
    <t>Literatura</t>
  </si>
  <si>
    <t>Massa por litro do residuo.</t>
  </si>
  <si>
    <t>P08</t>
  </si>
  <si>
    <t>ST lodo</t>
  </si>
  <si>
    <t>%</t>
  </si>
  <si>
    <t>Embrapa 2024</t>
  </si>
  <si>
    <t>Solidos totais: tudo que sobra se secar o lodo.</t>
  </si>
  <si>
    <t>P09</t>
  </si>
  <si>
    <t>ST vinhaca</t>
  </si>
  <si>
    <t>Solidos totais da vinhaca; bem diluida.</t>
  </si>
  <si>
    <t>P10</t>
  </si>
  <si>
    <t>ST residuo organico</t>
  </si>
  <si>
    <t>Solidos totais do residuo; concentrado.</t>
  </si>
  <si>
    <t>P11</t>
  </si>
  <si>
    <t>SV/ST lodo</t>
  </si>
  <si>
    <t>Embrapa</t>
  </si>
  <si>
    <t>Quanto dos solidos e materia organica no lodo.</t>
  </si>
  <si>
    <t>P12</t>
  </si>
  <si>
    <t>SV/ST vinhaca</t>
  </si>
  <si>
    <t>Quanto dos solidos e materia organica na vinhaca.</t>
  </si>
  <si>
    <t>P13</t>
  </si>
  <si>
    <t>SV/ST residuo organico</t>
  </si>
  <si>
    <t>Quanto dos solidos e materia organica no residuo.</t>
  </si>
  <si>
    <t>P14</t>
  </si>
  <si>
    <t>C/N lodo</t>
  </si>
  <si>
    <t>Literatura BR</t>
  </si>
  <si>
    <t>Relacao C/N do lodo; baixa sozinha (ideal 20-30).</t>
  </si>
  <si>
    <t>P15</t>
  </si>
  <si>
    <t>C/N vinhaca</t>
  </si>
  <si>
    <t>C/N da vinhaca; ajuda a equilibrar.</t>
  </si>
  <si>
    <t>P16</t>
  </si>
  <si>
    <t>C/N residuo organico</t>
  </si>
  <si>
    <t>C/N do residuo; puxa para a faixa ideal.</t>
  </si>
  <si>
    <t>P17</t>
  </si>
  <si>
    <t>C% lodo (base SV)</t>
  </si>
  <si>
    <t>Nature/Sci.Reports</t>
  </si>
  <si>
    <t>Carbono elementar no SV seco do lodo.</t>
  </si>
  <si>
    <t>P18</t>
  </si>
  <si>
    <t>H% lodo (base SV)</t>
  </si>
  <si>
    <t>Hidrogenio elementar no SV seco do lodo.</t>
  </si>
  <si>
    <t>P19</t>
  </si>
  <si>
    <t>O% lodo (base SV)</t>
  </si>
  <si>
    <t>Oxigenio elementar no SV seco do lodo.</t>
  </si>
  <si>
    <t>P20</t>
  </si>
  <si>
    <t>N% lodo (base SV)</t>
  </si>
  <si>
    <t>Nitrogenio elementar no SV seco do lodo.</t>
  </si>
  <si>
    <t>P21</t>
  </si>
  <si>
    <t>S% lodo (base SV)</t>
  </si>
  <si>
    <t>Enxofre elementar no SV seco do lodo.</t>
  </si>
  <si>
    <t>P22</t>
  </si>
  <si>
    <t>C% vinhaca (base SV)</t>
  </si>
  <si>
    <t>Estimativa lit.</t>
  </si>
  <si>
    <t>Carbono elementar no SV seco da vinhaca.</t>
  </si>
  <si>
    <t>P23</t>
  </si>
  <si>
    <t>H% vinhaca (base SV)</t>
  </si>
  <si>
    <t>Hidrogenio elementar no SV seco da vinhaca.</t>
  </si>
  <si>
    <t>P24</t>
  </si>
  <si>
    <t>O% vinhaca (base SV)</t>
  </si>
  <si>
    <t>Oxigenio elementar no SV seco da vinhaca.</t>
  </si>
  <si>
    <t>P25</t>
  </si>
  <si>
    <t>N% vinhaca (base SV)</t>
  </si>
  <si>
    <t>Nitrogenio elementar no SV seco da vinhaca.</t>
  </si>
  <si>
    <t>P26</t>
  </si>
  <si>
    <t>S% vinhaca (base SV)</t>
  </si>
  <si>
    <t>Enxofre elementar no SV seco da vinhaca.</t>
  </si>
  <si>
    <t>P27</t>
  </si>
  <si>
    <t>C% residuo (base SV)</t>
  </si>
  <si>
    <t>MDPI 2019</t>
  </si>
  <si>
    <t>Carbono elementar no SV seco do residuo.</t>
  </si>
  <si>
    <t>P28</t>
  </si>
  <si>
    <t>H% residuo (base SV)</t>
  </si>
  <si>
    <t>Hidrogenio elementar no SV seco do residuo.</t>
  </si>
  <si>
    <t>P29</t>
  </si>
  <si>
    <t>O% residuo (base SV)</t>
  </si>
  <si>
    <t>MDPI 2019 (ajust.)</t>
  </si>
  <si>
    <t>Oxigenio elementar no SV seco do residuo (ajustado por diferenca para fechar 100%).</t>
  </si>
  <si>
    <t>P30</t>
  </si>
  <si>
    <t>N% residuo (base SV)</t>
  </si>
  <si>
    <t>Nitrogenio elementar no SV seco do residuo.</t>
  </si>
  <si>
    <t>P31</t>
  </si>
  <si>
    <t>S% residuo (base SV)</t>
  </si>
  <si>
    <t>Enxofre elementar no SV seco do residuo.</t>
  </si>
  <si>
    <t>P32</t>
  </si>
  <si>
    <t>Temperatura de entrada</t>
  </si>
  <si>
    <t>degC</t>
  </si>
  <si>
    <t>Media ambiental</t>
  </si>
  <si>
    <t>Temperatura da mistura antes do digestor.</t>
  </si>
  <si>
    <t>P33</t>
  </si>
  <si>
    <t>Temperatura do digestor</t>
  </si>
  <si>
    <t>Mesofilico</t>
  </si>
  <si>
    <t>Temperatura operacional do reator.</t>
  </si>
  <si>
    <t>P34</t>
  </si>
  <si>
    <t>TRH</t>
  </si>
  <si>
    <t>dias</t>
  </si>
  <si>
    <t>Tipico codigestao</t>
  </si>
  <si>
    <t>Tempo medio que o material fica no reator.</t>
  </si>
  <si>
    <t>P35</t>
  </si>
  <si>
    <t>Eficiencia de remocao de SV</t>
  </si>
  <si>
    <t>UFPR 2024</t>
  </si>
  <si>
    <t>Quanto da materia organica e digerida.</t>
  </si>
  <si>
    <t>P36</t>
  </si>
  <si>
    <t>Rendimento de biogas</t>
  </si>
  <si>
    <t>Nm3/kgSV rem</t>
  </si>
  <si>
    <t>Volume de biogas por kg de SV consumido.</t>
  </si>
  <si>
    <t>P37</t>
  </si>
  <si>
    <t>Teor de CH4 no biogas</t>
  </si>
  <si>
    <t>% vol</t>
  </si>
  <si>
    <t>Fracao de metano no biogas.</t>
  </si>
  <si>
    <t>P38</t>
  </si>
  <si>
    <t>Teor de CO2 no biogas</t>
  </si>
  <si>
    <t>Complemento</t>
  </si>
  <si>
    <t>Fracao de CO2 no biogas.</t>
  </si>
  <si>
    <t>P39</t>
  </si>
  <si>
    <t>Teor de outros gases</t>
  </si>
  <si>
    <t>Tracos</t>
  </si>
  <si>
    <t>H2S, H2O, etc.</t>
  </si>
  <si>
    <t>P40</t>
  </si>
  <si>
    <t>Cp da mistura</t>
  </si>
  <si>
    <t>kJ/kg.K</t>
  </si>
  <si>
    <t>Aprox. aquosa</t>
  </si>
  <si>
    <t>Energia para aquecer 1 kg em 1 grau.</t>
  </si>
  <si>
    <t>P41</t>
  </si>
  <si>
    <t>Perdas de calor do reator</t>
  </si>
  <si>
    <t>Perdas pelas paredes, topo e fundo.</t>
  </si>
  <si>
    <t>P42</t>
  </si>
  <si>
    <t>PCI do metano</t>
  </si>
  <si>
    <t>MJ/Nm3</t>
  </si>
  <si>
    <t>Energia ao queimar 1 Nm3 de CH4.</t>
  </si>
  <si>
    <t>P43</t>
  </si>
  <si>
    <t>Eficiencia eletrica CHP</t>
  </si>
  <si>
    <t>Motor a gas</t>
  </si>
  <si>
    <t>Fracao da energia que vira eletricidade.</t>
  </si>
  <si>
    <t>P44</t>
  </si>
  <si>
    <t>Eficiencia termica CHP</t>
  </si>
  <si>
    <t>Fracao que vira calor recuperavel.</t>
  </si>
  <si>
    <t>P45</t>
  </si>
  <si>
    <t>Consumo auxiliar eletrico</t>
  </si>
  <si>
    <t>Bombas, mistura, instrumentacao (5%).</t>
  </si>
  <si>
    <t>P46</t>
  </si>
  <si>
    <t>Calor reacao anaerobia</t>
  </si>
  <si>
    <t>MJ/kgSV rem</t>
  </si>
  <si>
    <t>Calor gerado pela bioconversao.</t>
  </si>
  <si>
    <t>P47</t>
  </si>
  <si>
    <t>Preco eletricidade</t>
  </si>
  <si>
    <t>R$/kWh</t>
  </si>
  <si>
    <t>Valor conceitual editavel.</t>
  </si>
  <si>
    <t>P48</t>
  </si>
  <si>
    <t>Preco descarte digestato</t>
  </si>
  <si>
    <t>R$/kg ST</t>
  </si>
  <si>
    <t>Custo de destinacao do digestato.</t>
  </si>
  <si>
    <t>P49</t>
  </si>
  <si>
    <t>ST do digestato desaguado</t>
  </si>
  <si>
    <t>Concentracao de solidos apos desaguamento.</t>
  </si>
  <si>
    <t>P50</t>
  </si>
  <si>
    <t>MM CH4</t>
  </si>
  <si>
    <t>kg/kmol</t>
  </si>
  <si>
    <t>Constante</t>
  </si>
  <si>
    <t>Massa molar do metano.</t>
  </si>
  <si>
    <t>P51</t>
  </si>
  <si>
    <t>MM CO2</t>
  </si>
  <si>
    <t>Massa molar do dioxido de carbono.</t>
  </si>
  <si>
    <t>P52</t>
  </si>
  <si>
    <t>MM H2O</t>
  </si>
  <si>
    <t>Massa molar da agua.</t>
  </si>
  <si>
    <t>P53</t>
  </si>
  <si>
    <t>M atomica C</t>
  </si>
  <si>
    <t>Massa atomica do carbono.</t>
  </si>
  <si>
    <t>P54</t>
  </si>
  <si>
    <t>Volume molar normal</t>
  </si>
  <si>
    <t>Nm3/kmol</t>
  </si>
  <si>
    <t>Volume de 1 kmol de gas ideal a 0C e 1 atm.</t>
  </si>
  <si>
    <t>P55</t>
  </si>
  <si>
    <t>MM outros gases (media)</t>
  </si>
  <si>
    <t>Massa molar media dos gases minoritarios.</t>
  </si>
  <si>
    <t>Calculos de massa - Balanco global</t>
  </si>
  <si>
    <t>Todas as celulas de valor (coluna B) sao formulas que referenciam Premissas.</t>
  </si>
  <si>
    <t>Volume lodo (m3/dia)</t>
  </si>
  <si>
    <t>Volume total x fracao de lodo.</t>
  </si>
  <si>
    <t>Volume vinhaca (m3/dia)</t>
  </si>
  <si>
    <t>Volume total x fracao de vinhaca.</t>
  </si>
  <si>
    <t>Volume residuo (m3/dia)</t>
  </si>
  <si>
    <t>Volume total x fracao de residuo.</t>
  </si>
  <si>
    <t>Massa lodo (kg/dia)</t>
  </si>
  <si>
    <t>kg/dia</t>
  </si>
  <si>
    <t>Volume x densidade do lodo.</t>
  </si>
  <si>
    <t>Massa vinhaca (kg/dia)</t>
  </si>
  <si>
    <t>Volume x densidade da vinhaca.</t>
  </si>
  <si>
    <t>Massa residuo (kg/dia)</t>
  </si>
  <si>
    <t>Volume x densidade do residuo.</t>
  </si>
  <si>
    <t>Massa total entrada (kg/dia)</t>
  </si>
  <si>
    <t>Soma das tres correntes.</t>
  </si>
  <si>
    <t>ST lodo (kg/dia)</t>
  </si>
  <si>
    <t>Massa lodo x %ST.</t>
  </si>
  <si>
    <t>ST vinhaca (kg/dia)</t>
  </si>
  <si>
    <t>Massa vinhaca x %ST.</t>
  </si>
  <si>
    <t>ST residuo (kg/dia)</t>
  </si>
  <si>
    <t>Massa residuo x %ST.</t>
  </si>
  <si>
    <t>ST total entrada (kg/dia)</t>
  </si>
  <si>
    <t>Carga solida total.</t>
  </si>
  <si>
    <t>SV lodo (kg/dia)</t>
  </si>
  <si>
    <t>ST lodo x %SV/ST.</t>
  </si>
  <si>
    <t>SV vinhaca (kg/dia)</t>
  </si>
  <si>
    <t>ST vinhaca x %SV/ST.</t>
  </si>
  <si>
    <t>SV residuo (kg/dia)</t>
  </si>
  <si>
    <t>ST residuo x %SV/ST.</t>
  </si>
  <si>
    <t>SV total entrada (kg/dia)</t>
  </si>
  <si>
    <t>Materia organica total disponivel.</t>
  </si>
  <si>
    <t>C/N mistura (ponderada SV)</t>
  </si>
  <si>
    <t>Media ponderada; ideal 20-30.</t>
  </si>
  <si>
    <t>SV removido (kg/dia)</t>
  </si>
  <si>
    <t>SV entrada x eficiencia de remocao.</t>
  </si>
  <si>
    <t>Volume biogas (Nm3/dia)</t>
  </si>
  <si>
    <t>Nm3/dia</t>
  </si>
  <si>
    <t>SV removido x rendimento.</t>
  </si>
  <si>
    <t>Volume CH4 (Nm3/dia)</t>
  </si>
  <si>
    <t>Biogas x %CH4.</t>
  </si>
  <si>
    <t>Volume CO2 (Nm3/dia)</t>
  </si>
  <si>
    <t>Biogas x %CO2.</t>
  </si>
  <si>
    <t>Volume outros (Nm3/dia)</t>
  </si>
  <si>
    <t>Biogas x %outros.</t>
  </si>
  <si>
    <t>n CH4 (kmol/dia)</t>
  </si>
  <si>
    <t>kmol/dia</t>
  </si>
  <si>
    <t>Volume CH4 / volume molar normal.</t>
  </si>
  <si>
    <t>m CH4 (kg/dia)</t>
  </si>
  <si>
    <t>n CH4 x MM CH4.</t>
  </si>
  <si>
    <t>n CO2 (kmol/dia)</t>
  </si>
  <si>
    <t>Volume CO2 / volume molar normal.</t>
  </si>
  <si>
    <t>m CO2 (kg/dia)</t>
  </si>
  <si>
    <t>n CO2 x MM CO2.</t>
  </si>
  <si>
    <t>n outros (kmol/dia)</t>
  </si>
  <si>
    <t>Volume outros / volume molar normal.</t>
  </si>
  <si>
    <t>m outros (kg/dia)</t>
  </si>
  <si>
    <t>n outros x MM outros.</t>
  </si>
  <si>
    <t>Massa biogas total (kg/dia)</t>
  </si>
  <si>
    <t>Soma CH4 + CO2 + outros.</t>
  </si>
  <si>
    <t>Volume reator (m3)</t>
  </si>
  <si>
    <t>m3</t>
  </si>
  <si>
    <t>Volume total x TRH.</t>
  </si>
  <si>
    <t>COV (kgSV/m3.dia)</t>
  </si>
  <si>
    <t>kgSV/m3.dia</t>
  </si>
  <si>
    <t>SV entrada / volume reator. Faixa: 1-4.</t>
  </si>
  <si>
    <t>SV residual (kg/dia)</t>
  </si>
  <si>
    <t>SV nao digerido = SV entrada - SV removido.</t>
  </si>
  <si>
    <t>SF entrada (kg/dia)</t>
  </si>
  <si>
    <t>Solidos fixos = ST - SV.</t>
  </si>
  <si>
    <t>ST digestato (kg/dia)</t>
  </si>
  <si>
    <t>SV residual + SF.</t>
  </si>
  <si>
    <t>Massa digestato (kg/dia)</t>
  </si>
  <si>
    <t>Massa entrada - massa biogas.</t>
  </si>
  <si>
    <t>Fechamento elementar C/H/O/N/S</t>
  </si>
  <si>
    <t>Rastreamento dos elementos quimicos desde a entrada ate biogas e digestato.</t>
  </si>
  <si>
    <t>Elemento</t>
  </si>
  <si>
    <t>Lodo (kg/dia)</t>
  </si>
  <si>
    <t>Vinhaca (kg/dia)</t>
  </si>
  <si>
    <t>Residuo (kg/dia)</t>
  </si>
  <si>
    <t>Total entrada (kg/dia)</t>
  </si>
  <si>
    <t>No biogas (kg/dia)</t>
  </si>
  <si>
    <t>Residual digestato (kg/dia)</t>
  </si>
  <si>
    <t>Mini-resumo</t>
  </si>
  <si>
    <t>C (Carbono)</t>
  </si>
  <si>
    <t>C no biogas: 12 kg/kmol por cada mol de CH4 e CO2.</t>
  </si>
  <si>
    <t>H (Hidrogenio)</t>
  </si>
  <si>
    <t>H no biogas: 4 kg H por kmol de CH4.</t>
  </si>
  <si>
    <t>O (Oxigenio)</t>
  </si>
  <si>
    <t>O no biogas: 32 kg O por kmol de CO2.</t>
  </si>
  <si>
    <t>N (Nitrogenio)</t>
  </si>
  <si>
    <t>N permanece no digestato (NH3 no gas desprezado).</t>
  </si>
  <si>
    <t>S (Enxofre)</t>
  </si>
  <si>
    <t>S permanece no digestato (H2S no gas desprezado).</t>
  </si>
  <si>
    <t>TOTAL</t>
  </si>
  <si>
    <t>C/N elementar da mistura (pela composicao):</t>
  </si>
  <si>
    <t>Nota: diferente do C/N de catalogo (media ponderada ~24.6) porque este e derivado da analise elementar.</t>
  </si>
  <si>
    <t>% do C de entrada que sai como biogas:</t>
  </si>
  <si>
    <t>Tabela de correntes - PFD</t>
  </si>
  <si>
    <t>Cada corrente numerada pode ser conectada no diagrama de fluxo de processo.</t>
  </si>
  <si>
    <t>Corrente</t>
  </si>
  <si>
    <t>Descricao</t>
  </si>
  <si>
    <t>Massa total (kg/dia)</t>
  </si>
  <si>
    <t>ST (kg/dia)</t>
  </si>
  <si>
    <t>SV (kg/dia)</t>
  </si>
  <si>
    <t>Agua+outros (kg/dia)</t>
  </si>
  <si>
    <t>Lodo de esgoto</t>
  </si>
  <si>
    <t>Entrada do lodo; traz N e buffer.</t>
  </si>
  <si>
    <t>Vinhaca</t>
  </si>
  <si>
    <t>Entrada da vinhaca; traz C e acidez.</t>
  </si>
  <si>
    <t>Residuo organico</t>
  </si>
  <si>
    <t>Entrada do residuo; alto SV.</t>
  </si>
  <si>
    <t>Mistura alimentada</t>
  </si>
  <si>
    <t>Soma das 3 correntes; entra no digestor.</t>
  </si>
  <si>
    <t>Biogas bruto</t>
  </si>
  <si>
    <t>Gas produzido: CH4 + CO2 + tracos.</t>
  </si>
  <si>
    <t>Digestato bruto</t>
  </si>
  <si>
    <t>Lodo estabilizado que sai do digestor.</t>
  </si>
  <si>
    <t>CH4 no biogas</t>
  </si>
  <si>
    <t>Componente combustivel do biogas.</t>
  </si>
  <si>
    <t>CO2 no biogas</t>
  </si>
  <si>
    <t>Inerte; diluente do biogas.</t>
  </si>
  <si>
    <t>Digestato desaguado (torta)</t>
  </si>
  <si>
    <t>Torta a 25% ST apos desaguamento.</t>
  </si>
  <si>
    <t>Agua separada do digestato</t>
  </si>
  <si>
    <t>Filtrado/centrifugado; retorna ou trata.</t>
  </si>
  <si>
    <t>Balanco de energia completo</t>
  </si>
  <si>
    <t>Inclui calor de reacao anaerobia, aquecimento, perdas, CHP e eletricidade.</t>
  </si>
  <si>
    <t>Grandeza</t>
  </si>
  <si>
    <t>Q aquecimento mistura</t>
  </si>
  <si>
    <t>MJ/dia</t>
  </si>
  <si>
    <t>Massa x Cp x DeltaT. Aquecer de 20 a 35 degC.</t>
  </si>
  <si>
    <t>Q perdas reator</t>
  </si>
  <si>
    <t>Perdas pelas paredes = 15% do calor de aquecimento.</t>
  </si>
  <si>
    <t>Q reacao anaerobia</t>
  </si>
  <si>
    <t>Calor exotermico = 1.2 MJ/kgSV removido.</t>
  </si>
  <si>
    <t>Q demanda termica liquida</t>
  </si>
  <si>
    <t>Aquecimento + perdas - calor da reacao.</t>
  </si>
  <si>
    <t>Energia no biogas (PCI)</t>
  </si>
  <si>
    <t>Volume CH4 x PCI metano.</t>
  </si>
  <si>
    <t>E eletrica CHP (MJ/dia)</t>
  </si>
  <si>
    <t>Energia biogas x eficiencia eletrica.</t>
  </si>
  <si>
    <t>E eletrica CHP (kWh/dia)</t>
  </si>
  <si>
    <t>kWh/dia</t>
  </si>
  <si>
    <t>Conversao MJ para kWh (1 kWh = 3.6 MJ).</t>
  </si>
  <si>
    <t>Q calor recuperavel CHP</t>
  </si>
  <si>
    <t>Energia biogas x eficiencia termica.</t>
  </si>
  <si>
    <t>Q excedente termico</t>
  </si>
  <si>
    <t>Calor CHP - demanda. Se &gt; 0, sobra calor.</t>
  </si>
  <si>
    <t>E auxiliar eletrica</t>
  </si>
  <si>
    <t>5% da eletricidade gerada.</t>
  </si>
  <si>
    <t>E eletrica liquida</t>
  </si>
  <si>
    <t>Eletricidade gerada - consumo auxiliar.</t>
  </si>
  <si>
    <t>Potencia eletrica media</t>
  </si>
  <si>
    <t>kW</t>
  </si>
  <si>
    <t>Eletricidade liquida / 24 horas.</t>
  </si>
  <si>
    <t>Etapas da digestao anaerobia - Modelo conceitual</t>
  </si>
  <si>
    <t>As 4 etapas biologicas e suas contribuicoes para o balanco.</t>
  </si>
  <si>
    <t>Etapa</t>
  </si>
  <si>
    <t>O que entra</t>
  </si>
  <si>
    <t>O que sai</t>
  </si>
  <si>
    <t>Agentes</t>
  </si>
  <si>
    <t>Fracao do CH4</t>
  </si>
  <si>
    <t>1. Hidrolise</t>
  </si>
  <si>
    <t>Proteinas, carboidratos, lipideos</t>
  </si>
  <si>
    <t>Aminoacidos, acucares, ac. graxos</t>
  </si>
  <si>
    <t>Bacterias hidroliticas (enzimas extracelulares)</t>
  </si>
  <si>
    <t>Quebra moleculas grandes; etapa limitante com solidos.</t>
  </si>
  <si>
    <t>2. Acidogenese</t>
  </si>
  <si>
    <t>Ac. acetico, propionico, butirico, etanol, H2, CO2</t>
  </si>
  <si>
    <t>Bacterias acidogenicas (~90% da populacao)</t>
  </si>
  <si>
    <t>Gera acidos volateis; risco de acidificacao se muito rapida.</t>
  </si>
  <si>
    <t>3. Acetogenese</t>
  </si>
  <si>
    <t>Ac. propionico, butirico, etanol</t>
  </si>
  <si>
    <t>Acetato, H2, CO2</t>
  </si>
  <si>
    <t>Bacterias acetogenicas (sintrÃ³ficas)</t>
  </si>
  <si>
    <t>Prepara substrato para metanogenicas; sensivel a H2.</t>
  </si>
  <si>
    <t>4a. Metanogenese acetoclastica</t>
  </si>
  <si>
    <t>Acetato (CH3COOH)</t>
  </si>
  <si>
    <t>CH4 + CO2</t>
  </si>
  <si>
    <t>Arqueias metanogenicas</t>
  </si>
  <si>
    <t>~70%</t>
  </si>
  <si>
    <t>CH3COOH -&gt; CH4 + CO2. Rota principal.</t>
  </si>
  <si>
    <t>4b. Metanogenese hidrogenotrofica</t>
  </si>
  <si>
    <t>CO2 + H2</t>
  </si>
  <si>
    <t>CH4 + H2O</t>
  </si>
  <si>
    <t>~30%</t>
  </si>
  <si>
    <t>CO2 + 4H2 -&gt; CH4 + 2H2O. Rota secundaria.</t>
  </si>
  <si>
    <t>Materia organica (SV)</t>
  </si>
  <si>
    <t>Biogas + Digestato</t>
  </si>
  <si>
    <t>Consorcio microbiano</t>
  </si>
  <si>
    <t>SV entrada -&gt; SV removido + SV residual.</t>
  </si>
  <si>
    <t>Reacoes simplificadas (estequiometria)</t>
  </si>
  <si>
    <t>Reacao</t>
  </si>
  <si>
    <t>Equacao</t>
  </si>
  <si>
    <t>Observacao</t>
  </si>
  <si>
    <t>Acetoclastica</t>
  </si>
  <si>
    <t>CH3COOH -&gt; CH4 + CO2</t>
  </si>
  <si>
    <t>1 mol acetato -&gt; 1 mol CH4 + 1 mol CO2</t>
  </si>
  <si>
    <t>Hidrogenotrofica</t>
  </si>
  <si>
    <t>CO2 + 4H2 -&gt; CH4 + 2H2O</t>
  </si>
  <si>
    <t>1 mol CO2 + 4 mol H2 -&gt; 1 mol CH4 + 2 mol H2O</t>
  </si>
  <si>
    <t>Global simplificada</t>
  </si>
  <si>
    <t>C6H12O6 -&gt; 3CH4 + 3CO2</t>
  </si>
  <si>
    <t>Glicose como substrato modelo; 1 mol glicose -&gt; 3 mol CH4</t>
  </si>
  <si>
    <t>Distribuicao de CH4 por rota (estimativa)</t>
  </si>
  <si>
    <t>Rota</t>
  </si>
  <si>
    <t>CH4 (Nm3/dia)</t>
  </si>
  <si>
    <t>CH4 (kg/dia)</t>
  </si>
  <si>
    <t>Acetoclastica (70%)</t>
  </si>
  <si>
    <t>Hidrogenotrofica (30%)</t>
  </si>
  <si>
    <t>Verificacoes de consistencia</t>
  </si>
  <si>
    <t>Todas as verificacoes devem retornar OK para o modelo ser valido.</t>
  </si>
  <si>
    <t>Verificacao</t>
  </si>
  <si>
    <t>Como calcula</t>
  </si>
  <si>
    <t>Residual</t>
  </si>
  <si>
    <t>Status</t>
  </si>
  <si>
    <t>Fechamento massa global</t>
  </si>
  <si>
    <t>Entrada - biogas - digestato</t>
  </si>
  <si>
    <t>Fechamento ST digestato</t>
  </si>
  <si>
    <t>SF + SV residual = ST digestato</t>
  </si>
  <si>
    <t>C/N na faixa ideal (20-30)</t>
  </si>
  <si>
    <t>Catalogo ponderado</t>
  </si>
  <si>
    <t>COV na faixa tipica (1-4)</t>
  </si>
  <si>
    <t>SV/Vreator</t>
  </si>
  <si>
    <t>Autossuficiencia termica</t>
  </si>
  <si>
    <t>Calor CHP &gt;= demanda</t>
  </si>
  <si>
    <t>Composicao biogas = 100%</t>
  </si>
  <si>
    <t>CH4+CO2+outros</t>
  </si>
  <si>
    <t>Composicao elem. lodo = 100%</t>
  </si>
  <si>
    <t>C+H+O+N+S</t>
  </si>
  <si>
    <t>% SV</t>
  </si>
  <si>
    <t>Composicao elem. vinhaca = 100%</t>
  </si>
  <si>
    <t>Composicao elem. residuo &gt;= 95%</t>
  </si>
  <si>
    <t>C+H+O+N+S (dif = outros elem)</t>
  </si>
  <si>
    <t>Fracoes volumetricas = 1</t>
  </si>
  <si>
    <t>Lodo+vinhaca+residuo</t>
  </si>
  <si>
    <t>Dicionario de variaveis</t>
  </si>
  <si>
    <t>Cada variavel usada na planilha, explicada para leigo.</t>
  </si>
  <si>
    <t>Variavel</t>
  </si>
  <si>
    <t>Nome simples</t>
  </si>
  <si>
    <t>Definicao para leigo</t>
  </si>
  <si>
    <t>Formula</t>
  </si>
  <si>
    <t>Por que importa</t>
  </si>
  <si>
    <t>ST</t>
  </si>
  <si>
    <t>Solidos totais</t>
  </si>
  <si>
    <t>Tudo que sobra se secar completamente.</t>
  </si>
  <si>
    <t>% ou kg/dia</t>
  </si>
  <si>
    <t>Lab</t>
  </si>
  <si>
    <t>SV</t>
  </si>
  <si>
    <t>Solidos volateis</t>
  </si>
  <si>
    <t>Parcela organica dos solidos.</t>
  </si>
  <si>
    <t>% ST ou kg/dia</t>
  </si>
  <si>
    <t>SV=ST*(SV/ST)</t>
  </si>
  <si>
    <t>Combustivel dos microrganismos.</t>
  </si>
  <si>
    <t>SF</t>
  </si>
  <si>
    <t>Solidos fixos</t>
  </si>
  <si>
    <t>Cinzas e minerais.</t>
  </si>
  <si>
    <t>SF=ST-SV</t>
  </si>
  <si>
    <t>Nao e digerida.</t>
  </si>
  <si>
    <t>C/N</t>
  </si>
  <si>
    <t>Relacao C/N</t>
  </si>
  <si>
    <t>Proporcao carbono/nitrogenio.</t>
  </si>
  <si>
    <t>Ponderada</t>
  </si>
  <si>
    <t>Ideal 20-30.</t>
  </si>
  <si>
    <t>Tempo retencao hidraulica</t>
  </si>
  <si>
    <t>Tempo medio no reator.</t>
  </si>
  <si>
    <t>V/Q</t>
  </si>
  <si>
    <t>Curto = digestao incompleta.</t>
  </si>
  <si>
    <t>COV</t>
  </si>
  <si>
    <t>Carga organica volumetrica</t>
  </si>
  <si>
    <t>SV alimentada/volume/dia.</t>
  </si>
  <si>
    <t>SV/V</t>
  </si>
  <si>
    <t>Alta = sobrecarga.</t>
  </si>
  <si>
    <t>eta_SV</t>
  </si>
  <si>
    <t>Eficiencia remocao SV</t>
  </si>
  <si>
    <t>Fracao digerida.</t>
  </si>
  <si>
    <t>% ou fracao</t>
  </si>
  <si>
    <t>Desempenho biologico.</t>
  </si>
  <si>
    <t>Y_bg</t>
  </si>
  <si>
    <t>Rendimento biogas</t>
  </si>
  <si>
    <t>Nm3 biogas por kg SV removido.</t>
  </si>
  <si>
    <t>Nm3/kgSV</t>
  </si>
  <si>
    <t>Liga digestao ao produto.</t>
  </si>
  <si>
    <t>PCI</t>
  </si>
  <si>
    <t>Poder calorifico inferior</t>
  </si>
  <si>
    <t>Energia util da combustao.</t>
  </si>
  <si>
    <t>Transforma CH4 em energia.</t>
  </si>
  <si>
    <t>CHP</t>
  </si>
  <si>
    <t>Cogeracao</t>
  </si>
  <si>
    <t>Maquina: biogas -&gt; eletricidade + calor.</t>
  </si>
  <si>
    <t>Descritivo</t>
  </si>
  <si>
    <t>Aproveitamento energetico.</t>
  </si>
  <si>
    <t>Q_aquec</t>
  </si>
  <si>
    <t>Calor aquecimento</t>
  </si>
  <si>
    <t>Energia para aquecer a mistura.</t>
  </si>
  <si>
    <t>M*Cp*DT</t>
  </si>
  <si>
    <t>Maior demanda termica.</t>
  </si>
  <si>
    <t>Q_perdas</t>
  </si>
  <si>
    <t>Perdas termicas</t>
  </si>
  <si>
    <t>Calor perdido pelo reator.</t>
  </si>
  <si>
    <t>Q_aquec*%</t>
  </si>
  <si>
    <t>Reator isolado perde menos.</t>
  </si>
  <si>
    <t>Q_reacao</t>
  </si>
  <si>
    <t>Calor de reacao</t>
  </si>
  <si>
    <t>Calor liberado pela biologia.</t>
  </si>
  <si>
    <t>q_rx*SV_rem</t>
  </si>
  <si>
    <t>Reduz demanda liquida.</t>
  </si>
  <si>
    <t>Q_demanda</t>
  </si>
  <si>
    <t>Demanda termica total</t>
  </si>
  <si>
    <t>Aquecimento + perdas - reacao.</t>
  </si>
  <si>
    <t>Soma</t>
  </si>
  <si>
    <t>Precisa suprir para manter T.</t>
  </si>
  <si>
    <t>E_biogas</t>
  </si>
  <si>
    <t>Energia no biogas</t>
  </si>
  <si>
    <t>Energia quimica no metano.</t>
  </si>
  <si>
    <t>V_CH4*PCI</t>
  </si>
  <si>
    <t>Energia bruta.</t>
  </si>
  <si>
    <t>E_el</t>
  </si>
  <si>
    <t>Eletricidade gerada</t>
  </si>
  <si>
    <t>Parte que vira eletricidade.</t>
  </si>
  <si>
    <t>E*eta_el/3.6</t>
  </si>
  <si>
    <t>Para consumo ou venda.</t>
  </si>
  <si>
    <t>Q_CHP</t>
  </si>
  <si>
    <t>Calor recuperavel</t>
  </si>
  <si>
    <t>Parte que vira calor util.</t>
  </si>
  <si>
    <t>E*eta_th</t>
  </si>
  <si>
    <t>Para aquecer digestor.</t>
  </si>
  <si>
    <t>Excedente</t>
  </si>
  <si>
    <t>Calor que sobra</t>
  </si>
  <si>
    <t>CHP - demanda.</t>
  </si>
  <si>
    <t>Diferenca</t>
  </si>
  <si>
    <t>Se &gt; 0, autossuficiente.</t>
  </si>
  <si>
    <t>E_aux</t>
  </si>
  <si>
    <t>Consumo auxiliar</t>
  </si>
  <si>
    <t>Eletricidade interna.</t>
  </si>
  <si>
    <t>E_el*%</t>
  </si>
  <si>
    <t>Bombas, controle.</t>
  </si>
  <si>
    <t>E_liq</t>
  </si>
  <si>
    <t>Eletricidade liquida</t>
  </si>
  <si>
    <t>O que sobra apos auxiliares.</t>
  </si>
  <si>
    <t>E_el-E_aux</t>
  </si>
  <si>
    <t>Venda ou uso externo.</t>
  </si>
  <si>
    <t>Digestato</t>
  </si>
  <si>
    <t>Lodo estabilizado</t>
  </si>
  <si>
    <t>Saida do digestor, menos organica.</t>
  </si>
  <si>
    <t>Entrada-biogas</t>
  </si>
  <si>
    <t>Destinacao.</t>
  </si>
  <si>
    <t>m_C,gas</t>
  </si>
  <si>
    <t>C no biogas</t>
  </si>
  <si>
    <t>Carbono que saiu como gas.</t>
  </si>
  <si>
    <t>n_CH4*12+n_CO2*12</t>
  </si>
  <si>
    <t>Rastreamento elementar.</t>
  </si>
  <si>
    <t>m_H,gas</t>
  </si>
  <si>
    <t>H no biogas</t>
  </si>
  <si>
    <t>Hidrogenio que saiu como gas.</t>
  </si>
  <si>
    <t>n_CH4*4</t>
  </si>
  <si>
    <t>m_O,gas</t>
  </si>
  <si>
    <t>O no biogas</t>
  </si>
  <si>
    <t>Oxigenio que saiu como gas.</t>
  </si>
  <si>
    <t>n_CO2*32</t>
  </si>
  <si>
    <t>Conceitos utilizados no modelo</t>
  </si>
  <si>
    <t>Comece por esta aba se quiser entender a intuicao fisica antes das formulas.</t>
  </si>
  <si>
    <t>Conceito</t>
  </si>
  <si>
    <t>Definicao simples</t>
  </si>
  <si>
    <t>Definicao tecnica</t>
  </si>
  <si>
    <t>Por que aparece na planilha</t>
  </si>
  <si>
    <t>Digestao anaerobia</t>
  </si>
  <si>
    <t>Decomposicao sem oxigenio que gera biogas.</t>
  </si>
  <si>
    <t>Conversao bioquimica de materia organica em CH4 e CO2 por consorcio microbiano.</t>
  </si>
  <si>
    <t>Processo central do projeto.</t>
  </si>
  <si>
    <t>Codigestao</t>
  </si>
  <si>
    <t>Digerir dois ou mais residuos juntos.</t>
  </si>
  <si>
    <t>Mistura de substratos para equilibrar C/N e aumentar rendimento.</t>
  </si>
  <si>
    <t>Justifica a mistura lodo+vinhaca+residuo.</t>
  </si>
  <si>
    <t>Hidrolise</t>
  </si>
  <si>
    <t>Quebra de moleculas grandes em pequenas.</t>
  </si>
  <si>
    <t>Enzimas extracelulares rompem polimeros.</t>
  </si>
  <si>
    <t>Etapa 1; limitante com solidos.</t>
  </si>
  <si>
    <t>Acidogenese</t>
  </si>
  <si>
    <t>Monomeros viram acidos organicos.</t>
  </si>
  <si>
    <t>Bacterias fermentativas produzem acidos volateis.</t>
  </si>
  <si>
    <t>Etapa 2; gera intermediarios.</t>
  </si>
  <si>
    <t>Acetogenese</t>
  </si>
  <si>
    <t>Acidos viram acetato e H2.</t>
  </si>
  <si>
    <t>Conversao de acidos em acetato e H2.</t>
  </si>
  <si>
    <t>Etapa 3; prepara para metanogenese.</t>
  </si>
  <si>
    <t>Metanogenese</t>
  </si>
  <si>
    <t>Acetato e H2 viram metano.</t>
  </si>
  <si>
    <t>Arqueias produzem CH4.</t>
  </si>
  <si>
    <t>Etapa 4; gera o produto util.</t>
  </si>
  <si>
    <t>Balanco de massa</t>
  </si>
  <si>
    <t>Tudo que entra tem que sair.</t>
  </si>
  <si>
    <t>Conservacao de massa no digestor.</t>
  </si>
  <si>
    <t>Garante entrada = biogas + digestato.</t>
  </si>
  <si>
    <t>Balanco de energia</t>
  </si>
  <si>
    <t>Energia nao surge do nada.</t>
  </si>
  <si>
    <t>1a Lei da Termodinamica.</t>
  </si>
  <si>
    <t>Garante viabilidade termica.</t>
  </si>
  <si>
    <t>Fechamento elementar</t>
  </si>
  <si>
    <t>Rastrear C, H, O, N, S.</t>
  </si>
  <si>
    <t>Conservacao dos elementos quimicos.</t>
  </si>
  <si>
    <t>Verifica consistencia do modelo.</t>
  </si>
  <si>
    <t>Calor do CHP &gt;= demanda?</t>
  </si>
  <si>
    <t>Balanco termico do processo.</t>
  </si>
  <si>
    <t>Se sim, nao precisa fonte externa.</t>
  </si>
  <si>
    <t>Biogas</t>
  </si>
  <si>
    <t>Gas com CH4 e CO2.</t>
  </si>
  <si>
    <t>Mistura gasosa combustivel da digestao.</t>
  </si>
  <si>
    <t>Produto principal.</t>
  </si>
  <si>
    <t>Lodo estabilizado.</t>
  </si>
  <si>
    <t>Efluente com menor materia organica.</t>
  </si>
  <si>
    <t>Destinacao: agricultura ou descarte.</t>
  </si>
  <si>
    <t>Efluente da destilacao de etanol.</t>
  </si>
  <si>
    <t>Rica em materia organica e potassio.</t>
  </si>
  <si>
    <t>Substrato complementar.</t>
  </si>
  <si>
    <t>Residuo de ETE.</t>
  </si>
  <si>
    <t>Lodo do tratamento de esgoto domestico.</t>
  </si>
  <si>
    <t>Substrato base.</t>
  </si>
  <si>
    <t>Restos de comida, cascas.</t>
  </si>
  <si>
    <t>Biodegradaveis domesticos/comerciais.</t>
  </si>
  <si>
    <t>Equilibra C/N e SV.</t>
  </si>
  <si>
    <t>CHP (Cogeracao)</t>
  </si>
  <si>
    <t>Motor que gera eletricidade e calor.</t>
  </si>
  <si>
    <t>Combined Heat and Power.</t>
  </si>
  <si>
    <t>Aproveitamento otimizado do biogas.</t>
  </si>
  <si>
    <t>Exotermico ~1.2 MJ/kgSV removido.</t>
  </si>
  <si>
    <t>Reduz demanda de aquecimento externo.</t>
  </si>
  <si>
    <t>Desaguamento</t>
  </si>
  <si>
    <t>Separar agua do digestato.</t>
  </si>
  <si>
    <t>Filtro-prensa ou centrifuga.</t>
  </si>
  <si>
    <t>Reduz volume para destinacao.</t>
  </si>
  <si>
    <t>Utilidades do processo</t>
  </si>
  <si>
    <t>Consumos e producoes de utilidades.</t>
  </si>
  <si>
    <t>Utilidade</t>
  </si>
  <si>
    <t>Quantidade</t>
  </si>
  <si>
    <t>Custo (R$/dia)</t>
  </si>
  <si>
    <t>Calor para aquecer mistura</t>
  </si>
  <si>
    <t>Suprido pelo CHP se autossuficiente.</t>
  </si>
  <si>
    <t>Calor para perdas</t>
  </si>
  <si>
    <t>Suprido pelo CHP.</t>
  </si>
  <si>
    <t>Calor de reacao (credito)</t>
  </si>
  <si>
    <t>Gerado pela biologia; nao e custo.</t>
  </si>
  <si>
    <t>Eletricidade auxiliar</t>
  </si>
  <si>
    <t>Consumo interno.</t>
  </si>
  <si>
    <t>Eletricidade liquida (venda)</t>
  </si>
  <si>
    <t>Receita (negativo = entrada).</t>
  </si>
  <si>
    <t>Custos e receitas conceituais</t>
  </si>
  <si>
    <t>Valores editaveis; nao substitui orcamento executivo.</t>
  </si>
  <si>
    <t>Item</t>
  </si>
  <si>
    <t>Custo unit.</t>
  </si>
  <si>
    <t>Subtotal (R$/dia)</t>
  </si>
  <si>
    <t>Descarte digestato (ST)</t>
  </si>
  <si>
    <t>kg ST/dia</t>
  </si>
  <si>
    <t>Custo de destinacao dos solidos.</t>
  </si>
  <si>
    <t>Consumo eletrico auxiliar</t>
  </si>
  <si>
    <t>Energia interna do sistema.</t>
  </si>
  <si>
    <t>Receita de eletricidade</t>
  </si>
  <si>
    <t>Receita (valor negativo).</t>
  </si>
  <si>
    <t>Agua de processo</t>
  </si>
  <si>
    <t>Estimativa agua de selagem e limpeza.</t>
  </si>
  <si>
    <t>Manutencao (% investimento/dia)</t>
  </si>
  <si>
    <t>verba/dia</t>
  </si>
  <si>
    <t>Manutencao preventiva.</t>
  </si>
  <si>
    <t>Saldo operacional diario</t>
  </si>
  <si>
    <t>PFD Visual - Diagrama de fluxo simplificado</t>
  </si>
  <si>
    <t>Representacao em texto do fluxo de processo.</t>
  </si>
  <si>
    <t>[101] LODO DE ESGOTO</t>
  </si>
  <si>
    <t xml:space="preserve">     |</t>
  </si>
  <si>
    <t xml:space="preserve">     v</t>
  </si>
  <si>
    <t>[102] VINHACA  ------&gt;  [TANQUE DE MISTURA]  ---[104]---&gt;  [DIGESTOR ANAEROBIO]  ---[105]---&gt; BIOGAS</t>
  </si>
  <si>
    <t xml:space="preserve">     ^                                                          |               |---[107]---&gt; CH4 (combustivel)</t>
  </si>
  <si>
    <t xml:space="preserve">     |                                                          |               |---[108]---&gt; CO2 (inerte)</t>
  </si>
  <si>
    <t>[103] RESIDUO ORG.                                             |</t>
  </si>
  <si>
    <t xml:space="preserve">                                                               v</t>
  </si>
  <si>
    <t xml:space="preserve">                                                        [106] DIGESTATO</t>
  </si>
  <si>
    <t xml:space="preserve">                                                               |</t>
  </si>
  <si>
    <t xml:space="preserve">                                                        [DESAGUAMENTO]</t>
  </si>
  <si>
    <t xml:space="preserve">                                                          /          \\</t>
  </si>
  <si>
    <t xml:space="preserve">                                                   [109] TORTA    [110] AGUA</t>
  </si>
  <si>
    <t xml:space="preserve">                                                   (25% ST)       (filtrado)</t>
  </si>
  <si>
    <t>Correntes principais (valores)</t>
  </si>
  <si>
    <t>Massa (kg/dia)</t>
  </si>
  <si>
    <t>Secagem / Desaguamento do digestato</t>
  </si>
  <si>
    <t>Estimativa de massas apos separacao solido-liquido.</t>
  </si>
  <si>
    <t>Massa digestato bruto</t>
  </si>
  <si>
    <t>Tudo que sai do digestor (menos o gas).</t>
  </si>
  <si>
    <t>ST no digestato</t>
  </si>
  <si>
    <t>Solidos totais na saida.</t>
  </si>
  <si>
    <t>SV no digestato</t>
  </si>
  <si>
    <t>Materia organica residual.</t>
  </si>
  <si>
    <t>SF no digestato</t>
  </si>
  <si>
    <t>Agua no digestato</t>
  </si>
  <si>
    <t>Massa total menos solidos.</t>
  </si>
  <si>
    <t>% ST no digestato</t>
  </si>
  <si>
    <t>Concentracao de solidos.</t>
  </si>
  <si>
    <t>ST alvo apos desaguamento</t>
  </si>
  <si>
    <t>Premissa: 25% ST na torta.</t>
  </si>
  <si>
    <t>Massa torta desaguada</t>
  </si>
  <si>
    <t>ST dividido pela concentracao alvo.</t>
  </si>
  <si>
    <t>Agua na torta</t>
  </si>
  <si>
    <t>Agua retida na torta.</t>
  </si>
  <si>
    <t>Agua separada (filtrado)</t>
  </si>
  <si>
    <t>Filtrado para tratamento ou reuso.</t>
  </si>
  <si>
    <t>Massa filtrado total</t>
  </si>
  <si>
    <t>Digestato - torta.</t>
  </si>
  <si>
    <t>Resumo Executivo - Biogas por Codigestao Anaerobia</t>
  </si>
  <si>
    <t>Leitura rapida para apresentacao academica ou profissional.</t>
  </si>
  <si>
    <t>Bloco</t>
  </si>
  <si>
    <t>Mensagem</t>
  </si>
  <si>
    <t>Base</t>
  </si>
  <si>
    <t>Volume de mistura/dia</t>
  </si>
  <si>
    <t>Massa</t>
  </si>
  <si>
    <t>Massa total de entrada</t>
  </si>
  <si>
    <t>Organica</t>
  </si>
  <si>
    <t>Solidos volateis de entrada</t>
  </si>
  <si>
    <t>Relacao C/N (catalogo)</t>
  </si>
  <si>
    <t>C/N elem.</t>
  </si>
  <si>
    <t>Relacao C/N (elementar)</t>
  </si>
  <si>
    <t>Volume de biogas</t>
  </si>
  <si>
    <t>Metano</t>
  </si>
  <si>
    <t>Volume de metano</t>
  </si>
  <si>
    <t>Energia</t>
  </si>
  <si>
    <t>Potencia</t>
  </si>
  <si>
    <t>Eletricidade</t>
  </si>
  <si>
    <t>Termica</t>
  </si>
  <si>
    <t>Excedente termico</t>
  </si>
  <si>
    <t>Massa de digestato</t>
  </si>
  <si>
    <t>Reator</t>
  </si>
  <si>
    <t>Volume do reator</t>
  </si>
  <si>
    <t>Checks</t>
  </si>
  <si>
    <t>Verificacoes OK</t>
  </si>
  <si>
    <t>de 10</t>
  </si>
  <si>
    <t>Mensagens para apresentacao</t>
  </si>
  <si>
    <t>Indicadores-chave de desempenho (KPIs)</t>
  </si>
  <si>
    <t>KPI</t>
  </si>
  <si>
    <t>C/N da mistura</t>
  </si>
  <si>
    <t>Potencia media</t>
  </si>
  <si>
    <t>C no biogas (%)</t>
  </si>
  <si>
    <t>R$/dia</t>
  </si>
  <si>
    <t>Dashboard - Biogas por Codigestao Anaerobia</t>
  </si>
  <si>
    <t>Indicadores visuais, graficos e leitura executiva.</t>
  </si>
  <si>
    <t>Leitura executiva</t>
  </si>
  <si>
    <t>CO2 (kg/dia)</t>
  </si>
  <si>
    <t>Outros (kg/dia)</t>
  </si>
  <si>
    <t>SV removido</t>
  </si>
  <si>
    <t>SV residual</t>
  </si>
  <si>
    <t>Aquecimento</t>
  </si>
  <si>
    <t>Perdas</t>
  </si>
  <si>
    <t>Reacao (credito)</t>
  </si>
  <si>
    <t>Excedente CHP</t>
  </si>
  <si>
    <t>C no digestato</t>
  </si>
  <si>
    <t>H no digestato</t>
  </si>
  <si>
    <t>Lodo (SV)</t>
  </si>
  <si>
    <t>Vinhaca (SV)</t>
  </si>
  <si>
    <t>Residuo (SV)</t>
  </si>
  <si>
    <t>Descarte digestato</t>
  </si>
  <si>
    <t>Consumo eletrico</t>
  </si>
  <si>
    <t>Receita eletricidade</t>
  </si>
  <si>
    <t>Outros custos</t>
  </si>
  <si>
    <t>Dimensionamento de equipamentos</t>
  </si>
  <si>
    <t>Calculo de dimensoes principais de cada equipamento com formulas automaticas.</t>
  </si>
  <si>
    <t>Tag</t>
  </si>
  <si>
    <t>Equipamento</t>
  </si>
  <si>
    <t>Variavel dimensionamento</t>
  </si>
  <si>
    <t>Margem</t>
  </si>
  <si>
    <t>Valor final</t>
  </si>
  <si>
    <t>TQ-101</t>
  </si>
  <si>
    <t>Tanque mistura</t>
  </si>
  <si>
    <t>Volume util</t>
  </si>
  <si>
    <t>Q_tot * t_ret (12h)</t>
  </si>
  <si>
    <t>Diametro (H/D=1)</t>
  </si>
  <si>
    <t>(4V/pi)^(1/3)</t>
  </si>
  <si>
    <t>m</t>
  </si>
  <si>
    <t>Altura</t>
  </si>
  <si>
    <t>Potencia agitador</t>
  </si>
  <si>
    <t>0.5 kW/m3</t>
  </si>
  <si>
    <t>D-101</t>
  </si>
  <si>
    <t>Digestor anaerobio</t>
  </si>
  <si>
    <t>Q_tot * TRH</t>
  </si>
  <si>
    <t>15% headspace</t>
  </si>
  <si>
    <t>Diametro (H/D=1.5)</t>
  </si>
  <si>
    <t>(4V/(1.5*pi))^(1/3)</t>
  </si>
  <si>
    <t>H liquido</t>
  </si>
  <si>
    <t>1.5*D</t>
  </si>
  <si>
    <t>H headspace</t>
  </si>
  <si>
    <t>~3 m</t>
  </si>
  <si>
    <t>H total</t>
  </si>
  <si>
    <t>H_liq + H_head</t>
  </si>
  <si>
    <t>V real (check)</t>
  </si>
  <si>
    <t>pi/4*D^2*H_liq</t>
  </si>
  <si>
    <t>Potencia agitacao</t>
  </si>
  <si>
    <t>5-10 W/m3</t>
  </si>
  <si>
    <t>Espessura minima</t>
  </si>
  <si>
    <t>ASME VIII: P*R/(S*E-0.6P)</t>
  </si>
  <si>
    <t>mm</t>
  </si>
  <si>
    <t>+ 3mm corrosao</t>
  </si>
  <si>
    <t>TC-101</t>
  </si>
  <si>
    <t>Trocador de calor</t>
  </si>
  <si>
    <t>Carga termica</t>
  </si>
  <si>
    <t>M*Cp*DT/1000</t>
  </si>
  <si>
    <t>Carga termica (kW)</t>
  </si>
  <si>
    <t>Q/(86.4)</t>
  </si>
  <si>
    <t>LMTD (contracorrente)</t>
  </si>
  <si>
    <t>(DT1-DT2)/ln(DT1/DT2)</t>
  </si>
  <si>
    <t>U (coeficiente global)</t>
  </si>
  <si>
    <t>800 (conservador lodo)</t>
  </si>
  <si>
    <t>W/m2.K</t>
  </si>
  <si>
    <t>Area requerida</t>
  </si>
  <si>
    <t>Q/(U*LMTD)</t>
  </si>
  <si>
    <t>m2</t>
  </si>
  <si>
    <t>30% fouling</t>
  </si>
  <si>
    <t>P-101</t>
  </si>
  <si>
    <t>Bomba alimentacao</t>
  </si>
  <si>
    <t>Vazao</t>
  </si>
  <si>
    <t>Q_tot/24</t>
  </si>
  <si>
    <t>m3/h</t>
  </si>
  <si>
    <t>dP</t>
  </si>
  <si>
    <t>~2 bar</t>
  </si>
  <si>
    <t>bar</t>
  </si>
  <si>
    <t>Potencia hidraulica</t>
  </si>
  <si>
    <t>Q*dP</t>
  </si>
  <si>
    <t>W</t>
  </si>
  <si>
    <t>Potencia eixo</t>
  </si>
  <si>
    <t>W_hid/eta</t>
  </si>
  <si>
    <t>Motor comercial</t>
  </si>
  <si>
    <t>P-102</t>
  </si>
  <si>
    <t>Bomba digestato</t>
  </si>
  <si>
    <t>~igual P-101</t>
  </si>
  <si>
    <t>Motor</t>
  </si>
  <si>
    <t>FP-101</t>
  </si>
  <si>
    <t>Filtro-prensa</t>
  </si>
  <si>
    <t>Vazao digestato</t>
  </si>
  <si>
    <t>massa/dia</t>
  </si>
  <si>
    <t>Area filtracao</t>
  </si>
  <si>
    <t>~100 m2 (literatura)</t>
  </si>
  <si>
    <t>Pressao operacao</t>
  </si>
  <si>
    <t>6-15 bar</t>
  </si>
  <si>
    <t>MG-101</t>
  </si>
  <si>
    <t>Motor-gerador CHP</t>
  </si>
  <si>
    <t>Combustivel</t>
  </si>
  <si>
    <t>Energia quimica</t>
  </si>
  <si>
    <t>Potencia eletrica bruta</t>
  </si>
  <si>
    <t>E*eta_el/86.4</t>
  </si>
  <si>
    <t>Potencia eletrica liq</t>
  </si>
  <si>
    <t>bruta*(1-aux)</t>
  </si>
  <si>
    <t>Nominal</t>
  </si>
  <si>
    <t>Potencia termica</t>
  </si>
  <si>
    <t>E*eta_th/86.4</t>
  </si>
  <si>
    <t>TQ-102</t>
  </si>
  <si>
    <t>Gasometro</t>
  </si>
  <si>
    <t>Volume buffer 6h</t>
  </si>
  <si>
    <t>Q_bg/24*6</t>
  </si>
  <si>
    <t>Nm3</t>
  </si>
  <si>
    <t>DS-101</t>
  </si>
  <si>
    <t>Dessulfurizador</t>
  </si>
  <si>
    <t>Vazao biogas</t>
  </si>
  <si>
    <t>Q_bg/24</t>
  </si>
  <si>
    <t>Nm3/h</t>
  </si>
  <si>
    <t>EBCT</t>
  </si>
  <si>
    <t>3 min</t>
  </si>
  <si>
    <t>min</t>
  </si>
  <si>
    <t>Volume carvao</t>
  </si>
  <si>
    <t>Q*EBCT/60</t>
  </si>
  <si>
    <t>Diametro torre</t>
  </si>
  <si>
    <t>~1 m</t>
  </si>
  <si>
    <t>Altura leito</t>
  </si>
  <si>
    <t>V/(pi/4*D^2)</t>
  </si>
  <si>
    <t>TQ-103</t>
  </si>
  <si>
    <t>Tanque NaOH</t>
  </si>
  <si>
    <t>Volume</t>
  </si>
  <si>
    <t>1-2 m3 reserva</t>
  </si>
  <si>
    <t>Selecao de materiais de construcao</t>
  </si>
  <si>
    <t>Criterios de corrosao, abrasao e compatibilidade quimica para cada equipamento.</t>
  </si>
  <si>
    <t>Material corpo</t>
  </si>
  <si>
    <t>Material interno</t>
  </si>
  <si>
    <t>Justificativa</t>
  </si>
  <si>
    <t>Norma</t>
  </si>
  <si>
    <t>Aco carbono A36</t>
  </si>
  <si>
    <t>Rev. epoxi</t>
  </si>
  <si>
    <t>pH acido da vinhaca; baixa pressao</t>
  </si>
  <si>
    <t>ASTM A36</t>
  </si>
  <si>
    <t>Ferro fundido</t>
  </si>
  <si>
    <t>Rotor inox 316L</t>
  </si>
  <si>
    <t>Abrasao do lodo; solidos</t>
  </si>
  <si>
    <t>ASTM A743</t>
  </si>
  <si>
    <t>Aco carbono (casco)</t>
  </si>
  <si>
    <t>Inox 316L (tubos)</t>
  </si>
  <si>
    <t>H2S dissolvido no lodo</t>
  </si>
  <si>
    <t>ASTM A312</t>
  </si>
  <si>
    <t>Digestor</t>
  </si>
  <si>
    <t>Aco carbono A516 Gr.70</t>
  </si>
  <si>
    <t>Rev. epoxi + zona gas 316L</t>
  </si>
  <si>
    <t>H2S no headspace; pressao</t>
  </si>
  <si>
    <t>ASME VIII / NACE</t>
  </si>
  <si>
    <t>Abrasao + H2S residual</t>
  </si>
  <si>
    <t>Aco carbono</t>
  </si>
  <si>
    <t>Placas polipropileno</t>
  </si>
  <si>
    <t>Contato com lodo; quimicos</t>
  </si>
  <si>
    <t>NBR 7821</t>
  </si>
  <si>
    <t>Motor-gerador</t>
  </si>
  <si>
    <t>Padrao fabricante</t>
  </si>
  <si>
    <t>N/A</t>
  </si>
  <si>
    <t>Biogas tratado (H2S &lt; 200 ppm)</t>
  </si>
  <si>
    <t>ISO</t>
  </si>
  <si>
    <t>Estrutura aco</t>
  </si>
  <si>
    <t>Membrana EPDM</t>
  </si>
  <si>
    <t>Biogas umido; flexibilidade</t>
  </si>
  <si>
    <t>NR-20</t>
  </si>
  <si>
    <t>PRFV</t>
  </si>
  <si>
    <t>Carvao ativado</t>
  </si>
  <si>
    <t>H2S concentrado no gas</t>
  </si>
  <si>
    <t>ASTM D3299</t>
  </si>
  <si>
    <t>PEAD</t>
  </si>
  <si>
    <t>NaOH 50%; quimico agressivo</t>
  </si>
  <si>
    <t>ASTM D1998</t>
  </si>
  <si>
    <t>Agentes de corrosao no processo</t>
  </si>
  <si>
    <t>Agente</t>
  </si>
  <si>
    <t>Onde aparece</t>
  </si>
  <si>
    <t>Efeito</t>
  </si>
  <si>
    <t>Gravidade</t>
  </si>
  <si>
    <t>H2S</t>
  </si>
  <si>
    <t>Biogas, headspace, fase liquida</t>
  </si>
  <si>
    <t>Pitting em aco carbono</t>
  </si>
  <si>
    <t>Alta</t>
  </si>
  <si>
    <t>CO2 dissolvido</t>
  </si>
  <si>
    <t>Fase liquida</t>
  </si>
  <si>
    <t>Corrosao acida leve</t>
  </si>
  <si>
    <t>Media</t>
  </si>
  <si>
    <t>Acidos organicos volateis</t>
  </si>
  <si>
    <t>Corrosao acida</t>
  </si>
  <si>
    <t>Abrasao por solidos</t>
  </si>
  <si>
    <t>Bombas, tubulacoes</t>
  </si>
  <si>
    <t>Desgaste mecanico</t>
  </si>
  <si>
    <t>Alta em pontos</t>
  </si>
  <si>
    <t>pH acido (vinhaca)</t>
  </si>
  <si>
    <t>Entrada, TQ-101</t>
  </si>
  <si>
    <t>Ataque acido</t>
  </si>
  <si>
    <t>Cloretos</t>
  </si>
  <si>
    <t>Se agua salobra</t>
  </si>
  <si>
    <t>Pitting em inox 304</t>
  </si>
  <si>
    <t>Analise de sensibilidade e otimizacao</t>
  </si>
  <si>
    <t>Efeito das proporcoes de mistura, TRH e temperatura nos resultados do processo.</t>
  </si>
  <si>
    <t>Cenarios de proporcao (x_L : x_V : x_R)</t>
  </si>
  <si>
    <t>Cenario</t>
  </si>
  <si>
    <t>x_L</t>
  </si>
  <si>
    <t>x_V</t>
  </si>
  <si>
    <t>x_R</t>
  </si>
  <si>
    <t>Biogas (Nm3/dia)</t>
  </si>
  <si>
    <t>Eletric. (kWh/dia)</t>
  </si>
  <si>
    <t>A - Base</t>
  </si>
  <si>
    <t>B - Mais lodo</t>
  </si>
  <si>
    <t>C - Mais residuo</t>
  </si>
  <si>
    <t>D - Mais vinhaca</t>
  </si>
  <si>
    <t>E - Max biogas</t>
  </si>
  <si>
    <t>Efeito do TRH</t>
  </si>
  <si>
    <t>TRH (dias)</t>
  </si>
  <si>
    <t>V reator (m3)</t>
  </si>
  <si>
    <t>eta_SV (%)</t>
  </si>
  <si>
    <t>Efeito da temperatura</t>
  </si>
  <si>
    <t>Regime</t>
  </si>
  <si>
    <t>T (degC)</t>
  </si>
  <si>
    <t>Y_bg (Nm3/kgSV)</t>
  </si>
  <si>
    <t>Q aquec (MJ/dia)</t>
  </si>
  <si>
    <t>Termofilico</t>
  </si>
  <si>
    <t>CAPEX - Investimento fixo</t>
  </si>
  <si>
    <t>Estimativa de ordem de grandeza. Nivel C (Towler &amp; Sinnott, 2012).</t>
  </si>
  <si>
    <t>Dimensao</t>
  </si>
  <si>
    <t>Custo FOB (R$)</t>
  </si>
  <si>
    <t>Tanque mistura 60 m3</t>
  </si>
  <si>
    <t>Aco carbono + epoxi</t>
  </si>
  <si>
    <t>Bomba cavidade 0.75 kW</t>
  </si>
  <si>
    <t>Ferro fundido / 316L</t>
  </si>
  <si>
    <t>Trocador espiral 3.1 m2</t>
  </si>
  <si>
    <t>316L / aco carbono</t>
  </si>
  <si>
    <t>Digestor 2300 m3</t>
  </si>
  <si>
    <t>Aco carbono + rev. epoxi</t>
  </si>
  <si>
    <t>Bomba digestato 0.75 kW</t>
  </si>
  <si>
    <t>Filtro-prensa 100 m2</t>
  </si>
  <si>
    <t>Polipropileno / aco</t>
  </si>
  <si>
    <t>Motor-gerador 200 kW</t>
  </si>
  <si>
    <t>Gasometro 420 Nm3</t>
  </si>
  <si>
    <t>EPDM / aco</t>
  </si>
  <si>
    <t>Dessulfurizador 3.5 m3</t>
  </si>
  <si>
    <t>PRFV / carvao</t>
  </si>
  <si>
    <t>Tanque NaOH 2 m3</t>
  </si>
  <si>
    <t>Tubulacao, valvulas, instr.</t>
  </si>
  <si>
    <t>Estimativa 10% equipamentos</t>
  </si>
  <si>
    <t>Eletrica e automacao</t>
  </si>
  <si>
    <t>Estimativa</t>
  </si>
  <si>
    <t>TOTAL FOB</t>
  </si>
  <si>
    <t>Fator de Lang</t>
  </si>
  <si>
    <t>Solidos-liquidos</t>
  </si>
  <si>
    <t>Towler &amp; Sinnott (2012)</t>
  </si>
  <si>
    <t>Investimento total instalado</t>
  </si>
  <si>
    <t>Capital de giro (15%)</t>
  </si>
  <si>
    <t>CAPEX TOTAL</t>
  </si>
  <si>
    <t>OPEX - Custo operacional anual</t>
  </si>
  <si>
    <t>Custos recorrentes de operacao da planta.</t>
  </si>
  <si>
    <t>Custo unitario</t>
  </si>
  <si>
    <t>Custo anual (R$)</t>
  </si>
  <si>
    <t>Como calculou</t>
  </si>
  <si>
    <t>Mao de obra (4 pessoas)</t>
  </si>
  <si>
    <t>pessoas</t>
  </si>
  <si>
    <t>4 x R.000/mes x 12</t>
  </si>
  <si>
    <t>NaOH</t>
  </si>
  <si>
    <t>kg/ano</t>
  </si>
  <si>
    <t>100 kg/dia x 365 x R/kg</t>
  </si>
  <si>
    <t>16 kg/dia x R/kg</t>
  </si>
  <si>
    <t>Agua industrial</t>
  </si>
  <si>
    <t>m3/ano</t>
  </si>
  <si>
    <t>2.6 m3/dia x R/m3</t>
  </si>
  <si>
    <t>Manutencao (3% CAPEX)</t>
  </si>
  <si>
    <t>3% do investimento instalado</t>
  </si>
  <si>
    <t>kgST/ano</t>
  </si>
  <si>
    <t>ST x R.30/kg</t>
  </si>
  <si>
    <t>Seguro e impostos (2% CAPEX)</t>
  </si>
  <si>
    <t>2% do investimento instalado</t>
  </si>
  <si>
    <t>TOTAL OPEX anual</t>
  </si>
  <si>
    <t>Receitas anuais</t>
  </si>
  <si>
    <t>Receita</t>
  </si>
  <si>
    <t>Preco</t>
  </si>
  <si>
    <t>Valor anual (R$)</t>
  </si>
  <si>
    <t>Venda eletricidade</t>
  </si>
  <si>
    <t>kWh/ano</t>
  </si>
  <si>
    <t>Biofertilizante (torta)</t>
  </si>
  <si>
    <t>Creditos de carbono (est.)</t>
  </si>
  <si>
    <t>tCO2eq/ano</t>
  </si>
  <si>
    <t>TOTAL RECEITAS anual</t>
  </si>
  <si>
    <t>RESULTADO OPERACIONAL anual</t>
  </si>
  <si>
    <t>Fluxo de caixa projetado (20 anos)</t>
  </si>
  <si>
    <t>Projecao simplificada sem inflacao, com taxa de desconto.</t>
  </si>
  <si>
    <t>Ano</t>
  </si>
  <si>
    <t>Investimento</t>
  </si>
  <si>
    <t>OPEX</t>
  </si>
  <si>
    <t>Fluxo liq.</t>
  </si>
  <si>
    <t>Fluxo desc.</t>
  </si>
  <si>
    <t>VPL acum.</t>
  </si>
  <si>
    <t>Indicadores economicos</t>
  </si>
  <si>
    <t>VPL, TIR e payback do projeto.</t>
  </si>
  <si>
    <t>Indicador</t>
  </si>
  <si>
    <t>Unidade/Obs</t>
  </si>
  <si>
    <t>Taxa de desconto</t>
  </si>
  <si>
    <t>a.a. (editavel)</t>
  </si>
  <si>
    <t>Vida util</t>
  </si>
  <si>
    <t>anos</t>
  </si>
  <si>
    <t>CAPEX total</t>
  </si>
  <si>
    <t>R$</t>
  </si>
  <si>
    <t>OPEX anual</t>
  </si>
  <si>
    <t>R$/ano</t>
  </si>
  <si>
    <t>Receita anual</t>
  </si>
  <si>
    <t>Resultado operacional anual</t>
  </si>
  <si>
    <t>VPL (20 anos)</t>
  </si>
  <si>
    <t>TIR</t>
  </si>
  <si>
    <t>a.a.</t>
  </si>
  <si>
    <t>Payback simples</t>
  </si>
  <si>
    <t>Nota:</t>
  </si>
  <si>
    <t>Projeto de biogas em ETE e tipicamente viabilizado por obrigacao regulatoria, subsidios e creditos de carbono, nao apenas por venda de eletricidade.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</si>
</sst>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,000"/>
    <numFmt numFmtId="165" formatCode="#,000"/>
    <numFmt numFmtId="166" formatCode="0,000,000"/>
    <numFmt numFmtId="167" formatCode="#.##0"/>
    <numFmt numFmtId="168" formatCode="#,00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sz val="10"/>
      <color theme="1"/>
      <name val="Consolas"/>
      <family val="3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1" fillId="2" borderId="1" xfId="0" applyFont="1" applyFill="1" applyBorder="1"/>
    <xf numFmtId="164" fontId="0" fillId="0" borderId="1" xfId="0" applyNumberFormat="1" applyBorder="1"/>
    <xf numFmtId="0" fontId="1" fillId="0" borderId="1" xfId="0" applyFont="1" applyBorder="1"/>
    <xf numFmtId="164" fontId="1" fillId="0" borderId="1" xfId="0" applyNumberFormat="1" applyFont="1" applyBorder="1"/>
    <xf numFmtId="165" fontId="0" fillId="0" borderId="1" xfId="0" applyNumberFormat="1" applyBorder="1"/>
    <xf numFmtId="9" fontId="0" fillId="0" borderId="1" xfId="0" applyNumberFormat="1" applyBorder="1"/>
    <xf numFmtId="166" fontId="0" fillId="0" borderId="1" xfId="0" applyNumberFormat="1" applyBorder="1"/>
    <xf numFmtId="165" fontId="1" fillId="0" borderId="1" xfId="0" applyNumberFormat="1" applyFont="1" applyBorder="1"/>
    <xf numFmtId="0" fontId="4" fillId="0" borderId="1" xfId="0" applyFont="1" applyBorder="1"/>
    <xf numFmtId="0" fontId="0" fillId="0" borderId="1" xfId="0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7" fontId="0" fillId="0" borderId="1" xfId="0" applyNumberFormat="1" applyBorder="1"/>
    <xf numFmtId="167" fontId="1" fillId="0" borderId="1" xfId="0" applyNumberFormat="1" applyFont="1" applyBorder="1"/>
    <xf numFmtId="16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Composicao do biogas (massa)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Dashboard!$Q$2:$Q$4</c:f>
              <c:strCache>
                <c:ptCount val="3"/>
                <c:pt idx="0">
                  <c:v>CH4 (kg/dia)</c:v>
                </c:pt>
                <c:pt idx="1">
                  <c:v>CO2 (kg/dia)</c:v>
                </c:pt>
                <c:pt idx="2">
                  <c:v>Outros (kg/dia)</c:v>
                </c:pt>
              </c:strCache>
            </c:strRef>
          </c:cat>
          <c:val>
            <c:numRef>
              <c:f>Dashboard!$R$2:$R$4</c:f>
              <c:numCache>
                <c:formatCode>General</c:formatCode>
                <c:ptCount val="3"/>
                <c:pt idx="0">
                  <c:v>747.22797216025697</c:v>
                </c:pt>
                <c:pt idx="1">
                  <c:v>1193.1543426429912</c:v>
                </c:pt>
                <c:pt idx="2">
                  <c:v>43.688732243240835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E7-43CE-85EC-269269E6B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Conversao de SV (kg/dia)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Dashboard!$Q$6:$Q$7</c:f>
              <c:strCache>
                <c:ptCount val="2"/>
                <c:pt idx="0">
                  <c:v>SV removido</c:v>
                </c:pt>
                <c:pt idx="1">
                  <c:v>SV residual</c:v>
                </c:pt>
              </c:strCache>
            </c:strRef>
          </c:cat>
          <c:val>
            <c:numRef>
              <c:f>Dashboard!$R$6:$R$7</c:f>
              <c:numCache>
                <c:formatCode>General</c:formatCode>
                <c:ptCount val="2"/>
                <c:pt idx="0">
                  <c:v>2813.9058750000004</c:v>
                </c:pt>
                <c:pt idx="1">
                  <c:v>2302.2866249999997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B0-4DF2-AC84-7F1F64A2D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Balanco termico (MJ/dia)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Dashboard!$Q$9:$Q$12</c:f>
              <c:strCache>
                <c:ptCount val="4"/>
                <c:pt idx="0">
                  <c:v>Aquecimento</c:v>
                </c:pt>
                <c:pt idx="1">
                  <c:v>Perdas</c:v>
                </c:pt>
                <c:pt idx="2">
                  <c:v>Reacao (credito)</c:v>
                </c:pt>
                <c:pt idx="3">
                  <c:v>Excedente CHP</c:v>
                </c:pt>
              </c:strCache>
            </c:strRef>
          </c:cat>
          <c:val>
            <c:numRef>
              <c:f>Dashboard!$R$9:$R$12</c:f>
              <c:numCache>
                <c:formatCode>General</c:formatCode>
                <c:ptCount val="4"/>
                <c:pt idx="0">
                  <c:v>6136.2</c:v>
                </c:pt>
                <c:pt idx="1">
                  <c:v>920.43</c:v>
                </c:pt>
                <c:pt idx="2">
                  <c:v>3376.6870500000005</c:v>
                </c:pt>
                <c:pt idx="3">
                  <c:v>12059.335659978002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BB-4535-9021-274BC5D65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2452744"/>
        <c:axId val="522453400"/>
      </c:barChart>
      <c:catAx>
        <c:axId val="522452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2453400"/>
        <c:crosses val="autoZero"/>
        <c:auto val="1"/>
        <c:lblAlgn val="ctr"/>
        <c:lblOffset val="100"/>
        <c:noMultiLvlLbl val="0"/>
      </c:catAx>
      <c:valAx>
        <c:axId val="522453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2452744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Fechamento elementar C e H (kg/dia)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Dashboard!$Q$14:$Q$17</c:f>
              <c:strCache>
                <c:ptCount val="4"/>
                <c:pt idx="0">
                  <c:v>C no biogas</c:v>
                </c:pt>
                <c:pt idx="1">
                  <c:v>C no digestato</c:v>
                </c:pt>
                <c:pt idx="2">
                  <c:v>H no biogas</c:v>
                </c:pt>
                <c:pt idx="3">
                  <c:v>H no digestato</c:v>
                </c:pt>
              </c:strCache>
            </c:strRef>
          </c:cat>
          <c:val>
            <c:numRef>
              <c:f>Dashboard!$R$14:$R$17</c:f>
              <c:numCache>
                <c:formatCode>General</c:formatCode>
                <c:ptCount val="4"/>
                <c:pt idx="0">
                  <c:v>885.82670893191755</c:v>
                </c:pt>
                <c:pt idx="1">
                  <c:v>1585.4560660680822</c:v>
                </c:pt>
                <c:pt idx="2">
                  <c:v>186.80699304006424</c:v>
                </c:pt>
                <c:pt idx="3">
                  <c:v>158.41901945993578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91-41A6-A496-6424EDC7F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2447168"/>
        <c:axId val="522452416"/>
      </c:barChart>
      <c:catAx>
        <c:axId val="522447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2452416"/>
        <c:crosses val="autoZero"/>
        <c:auto val="1"/>
        <c:lblAlgn val="ctr"/>
        <c:lblOffset val="100"/>
        <c:noMultiLvlLbl val="0"/>
      </c:catAx>
      <c:valAx>
        <c:axId val="522452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244716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Contribuicao de SV por substrato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Dashboard!$Q$19:$Q$21</c:f>
              <c:strCache>
                <c:ptCount val="3"/>
                <c:pt idx="0">
                  <c:v>Lodo (SV)</c:v>
                </c:pt>
                <c:pt idx="1">
                  <c:v>Vinhaca (SV)</c:v>
                </c:pt>
                <c:pt idx="2">
                  <c:v>Residuo (SV)</c:v>
                </c:pt>
              </c:strCache>
            </c:strRef>
          </c:cat>
          <c:val>
            <c:numRef>
              <c:f>Dashboard!$R$19:$R$21</c:f>
              <c:numCache>
                <c:formatCode>General</c:formatCode>
                <c:ptCount val="3"/>
                <c:pt idx="0">
                  <c:v>1160.25</c:v>
                </c:pt>
                <c:pt idx="1">
                  <c:v>385.9425</c:v>
                </c:pt>
                <c:pt idx="2">
                  <c:v>3570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F1-4922-BD2E-853C354D3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Custos e receitas (R$/dia)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Dashboard!$Q$23:$Q$26</c:f>
              <c:strCache>
                <c:ptCount val="4"/>
                <c:pt idx="0">
                  <c:v>Descarte digestato</c:v>
                </c:pt>
                <c:pt idx="1">
                  <c:v>Consumo eletrico</c:v>
                </c:pt>
                <c:pt idx="2">
                  <c:v>Receita eletricidade</c:v>
                </c:pt>
                <c:pt idx="3">
                  <c:v>Outros custos</c:v>
                </c:pt>
              </c:strCache>
            </c:strRef>
          </c:cat>
          <c:val>
            <c:numRef>
              <c:f>Dashboard!$R$23:$R$26</c:f>
              <c:numCache>
                <c:formatCode>General</c:formatCode>
                <c:ptCount val="4"/>
                <c:pt idx="0">
                  <c:v>1105.7052374999998</c:v>
                </c:pt>
                <c:pt idx="1">
                  <c:v>148.3364551535625</c:v>
                </c:pt>
                <c:pt idx="2">
                  <c:v>2818.3926479176871</c:v>
                </c:pt>
                <c:pt idx="3">
                  <c:v>704.54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5C-491F-B80B-8B3674DEB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3488344"/>
        <c:axId val="523487032"/>
      </c:barChart>
      <c:catAx>
        <c:axId val="523488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3487032"/>
        <c:crosses val="autoZero"/>
        <c:auto val="1"/>
        <c:lblAlgn val="ctr"/>
        <c:lblOffset val="100"/>
        <c:noMultiLvlLbl val="0"/>
      </c:catAx>
      <c:valAx>
        <c:axId val="523487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3488344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14</xdr:row>
      <xdr:rowOff>2473960</xdr:rowOff>
    </xdr:from>
    <xdr:to>
      <xdr:col>8</xdr:col>
      <xdr:colOff>203200</xdr:colOff>
      <xdr:row>15</xdr:row>
      <xdr:rowOff>2834640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438D49-DD57-4AB7-99FA-269E4BCDC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457200</xdr:colOff>
      <xdr:row>14</xdr:row>
      <xdr:rowOff>2473960</xdr:rowOff>
    </xdr:from>
    <xdr:to>
      <xdr:col>16</xdr:col>
      <xdr:colOff>406400</xdr:colOff>
      <xdr:row>15</xdr:row>
      <xdr:rowOff>2834640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CE63F38-3261-47E1-8BE9-026F5A448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15</xdr:row>
      <xdr:rowOff>3088640</xdr:rowOff>
    </xdr:from>
    <xdr:to>
      <xdr:col>8</xdr:col>
      <xdr:colOff>203200</xdr:colOff>
      <xdr:row>20</xdr:row>
      <xdr:rowOff>157480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0736057-66F4-41BD-8ED5-783768F15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457200</xdr:colOff>
      <xdr:row>15</xdr:row>
      <xdr:rowOff>3088640</xdr:rowOff>
    </xdr:from>
    <xdr:to>
      <xdr:col>16</xdr:col>
      <xdr:colOff>406400</xdr:colOff>
      <xdr:row>20</xdr:row>
      <xdr:rowOff>157480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8F046A6-D861-4219-BD8C-A753BB5AC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254000</xdr:colOff>
      <xdr:row>22</xdr:row>
      <xdr:rowOff>45720</xdr:rowOff>
    </xdr:from>
    <xdr:to>
      <xdr:col>8</xdr:col>
      <xdr:colOff>203200</xdr:colOff>
      <xdr:row>38</xdr:row>
      <xdr:rowOff>40640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08EEAA7-94D0-43D2-8B47-64636562D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457200</xdr:colOff>
      <xdr:row>22</xdr:row>
      <xdr:rowOff>45720</xdr:rowOff>
    </xdr:from>
    <xdr:to>
      <xdr:col>16</xdr:col>
      <xdr:colOff>406400</xdr:colOff>
      <xdr:row>38</xdr:row>
      <xdr:rowOff>40640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0DE83A7-FF2C-408D-B3D4-9FD516E08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92595-E33D-4481-9F87-F8A359280FAC}">
  <dimension ref="A1:F59"/>
  <sheetViews>
    <sheetView tabSelected="1"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61.33203125" bestFit="1" customWidth="1"/>
    <col min="2" max="2" width="31.21875" bestFit="1" customWidth="1"/>
    <col min="3" max="3" width="7" bestFit="1" customWidth="1"/>
    <col min="4" max="4" width="13.21875" bestFit="1" customWidth="1"/>
    <col min="5" max="5" width="16.6640625" bestFit="1" customWidth="1"/>
    <col min="6" max="6" width="71.88671875" bestFit="1" customWidth="1"/>
  </cols>
  <sheetData>
    <row r="1" spans="1:6" ht="18" x14ac:dyDescent="0.35">
      <c r="A1" s="1" t="s">
        <v>0</v>
      </c>
      <c r="B1" s="2"/>
      <c r="C1" s="2"/>
      <c r="D1" s="2"/>
      <c r="E1" s="2"/>
      <c r="F1" s="2"/>
    </row>
    <row r="2" spans="1:6" x14ac:dyDescent="0.3">
      <c r="A2" s="3" t="s">
        <v>1</v>
      </c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3">
      <c r="A5" s="2" t="s">
        <v>8</v>
      </c>
      <c r="B5" s="2" t="s">
        <v>9</v>
      </c>
      <c r="C5" s="2">
        <v>100</v>
      </c>
      <c r="D5" s="2" t="s">
        <v>10</v>
      </c>
      <c r="E5" s="2" t="s">
        <v>11</v>
      </c>
      <c r="F5" s="2" t="s">
        <v>12</v>
      </c>
    </row>
    <row r="6" spans="1:6" x14ac:dyDescent="0.3">
      <c r="A6" s="2" t="s">
        <v>13</v>
      </c>
      <c r="B6" s="2" t="s">
        <v>14</v>
      </c>
      <c r="C6" s="2">
        <v>0.5</v>
      </c>
      <c r="D6" s="2" t="s">
        <v>15</v>
      </c>
      <c r="E6" s="2" t="s">
        <v>16</v>
      </c>
      <c r="F6" s="2" t="s">
        <v>17</v>
      </c>
    </row>
    <row r="7" spans="1:6" x14ac:dyDescent="0.3">
      <c r="A7" s="2" t="s">
        <v>18</v>
      </c>
      <c r="B7" s="2" t="s">
        <v>19</v>
      </c>
      <c r="C7" s="2">
        <v>0.3</v>
      </c>
      <c r="D7" s="2" t="s">
        <v>15</v>
      </c>
      <c r="E7" s="2" t="s">
        <v>16</v>
      </c>
      <c r="F7" s="2" t="s">
        <v>20</v>
      </c>
    </row>
    <row r="8" spans="1:6" x14ac:dyDescent="0.3">
      <c r="A8" s="2" t="s">
        <v>21</v>
      </c>
      <c r="B8" s="2" t="s">
        <v>22</v>
      </c>
      <c r="C8" s="2">
        <v>0.2</v>
      </c>
      <c r="D8" s="2" t="s">
        <v>15</v>
      </c>
      <c r="E8" s="2" t="s">
        <v>16</v>
      </c>
      <c r="F8" s="2" t="s">
        <v>23</v>
      </c>
    </row>
    <row r="9" spans="1:6" x14ac:dyDescent="0.3">
      <c r="A9" s="2" t="s">
        <v>24</v>
      </c>
      <c r="B9" s="2" t="s">
        <v>25</v>
      </c>
      <c r="C9" s="2">
        <v>1020</v>
      </c>
      <c r="D9" s="2" t="s">
        <v>26</v>
      </c>
      <c r="E9" s="2" t="s">
        <v>27</v>
      </c>
      <c r="F9" s="2" t="s">
        <v>28</v>
      </c>
    </row>
    <row r="10" spans="1:6" x14ac:dyDescent="0.3">
      <c r="A10" s="2" t="s">
        <v>29</v>
      </c>
      <c r="B10" s="2" t="s">
        <v>30</v>
      </c>
      <c r="C10" s="2">
        <v>1009</v>
      </c>
      <c r="D10" s="2" t="s">
        <v>26</v>
      </c>
      <c r="E10" s="2" t="s">
        <v>31</v>
      </c>
      <c r="F10" s="2" t="s">
        <v>32</v>
      </c>
    </row>
    <row r="11" spans="1:6" x14ac:dyDescent="0.3">
      <c r="A11" s="2" t="s">
        <v>33</v>
      </c>
      <c r="B11" s="2" t="s">
        <v>34</v>
      </c>
      <c r="C11" s="2">
        <v>1050</v>
      </c>
      <c r="D11" s="2" t="s">
        <v>26</v>
      </c>
      <c r="E11" s="2" t="s">
        <v>35</v>
      </c>
      <c r="F11" s="2" t="s">
        <v>36</v>
      </c>
    </row>
    <row r="12" spans="1:6" x14ac:dyDescent="0.3">
      <c r="A12" s="2" t="s">
        <v>37</v>
      </c>
      <c r="B12" s="2" t="s">
        <v>38</v>
      </c>
      <c r="C12" s="2">
        <v>3.5</v>
      </c>
      <c r="D12" s="2" t="s">
        <v>39</v>
      </c>
      <c r="E12" s="2" t="s">
        <v>40</v>
      </c>
      <c r="F12" s="2" t="s">
        <v>41</v>
      </c>
    </row>
    <row r="13" spans="1:6" x14ac:dyDescent="0.3">
      <c r="A13" s="2" t="s">
        <v>42</v>
      </c>
      <c r="B13" s="2" t="s">
        <v>43</v>
      </c>
      <c r="C13" s="2">
        <v>1.7</v>
      </c>
      <c r="D13" s="2" t="s">
        <v>39</v>
      </c>
      <c r="E13" s="2" t="s">
        <v>31</v>
      </c>
      <c r="F13" s="2" t="s">
        <v>44</v>
      </c>
    </row>
    <row r="14" spans="1:6" x14ac:dyDescent="0.3">
      <c r="A14" s="2" t="s">
        <v>45</v>
      </c>
      <c r="B14" s="2" t="s">
        <v>46</v>
      </c>
      <c r="C14" s="2">
        <v>20</v>
      </c>
      <c r="D14" s="2" t="s">
        <v>39</v>
      </c>
      <c r="E14" s="2" t="s">
        <v>35</v>
      </c>
      <c r="F14" s="2" t="s">
        <v>47</v>
      </c>
    </row>
    <row r="15" spans="1:6" x14ac:dyDescent="0.3">
      <c r="A15" s="2" t="s">
        <v>48</v>
      </c>
      <c r="B15" s="2" t="s">
        <v>49</v>
      </c>
      <c r="C15" s="2">
        <v>65</v>
      </c>
      <c r="D15" s="2" t="s">
        <v>39</v>
      </c>
      <c r="E15" s="2" t="s">
        <v>50</v>
      </c>
      <c r="F15" s="2" t="s">
        <v>51</v>
      </c>
    </row>
    <row r="16" spans="1:6" x14ac:dyDescent="0.3">
      <c r="A16" s="2" t="s">
        <v>52</v>
      </c>
      <c r="B16" s="2" t="s">
        <v>53</v>
      </c>
      <c r="C16" s="2">
        <v>75</v>
      </c>
      <c r="D16" s="2" t="s">
        <v>39</v>
      </c>
      <c r="E16" s="2" t="s">
        <v>35</v>
      </c>
      <c r="F16" s="2" t="s">
        <v>54</v>
      </c>
    </row>
    <row r="17" spans="1:6" x14ac:dyDescent="0.3">
      <c r="A17" s="2" t="s">
        <v>55</v>
      </c>
      <c r="B17" s="2" t="s">
        <v>56</v>
      </c>
      <c r="C17" s="2">
        <v>85</v>
      </c>
      <c r="D17" s="2" t="s">
        <v>39</v>
      </c>
      <c r="E17" s="2" t="s">
        <v>35</v>
      </c>
      <c r="F17" s="2" t="s">
        <v>57</v>
      </c>
    </row>
    <row r="18" spans="1:6" x14ac:dyDescent="0.3">
      <c r="A18" s="2" t="s">
        <v>58</v>
      </c>
      <c r="B18" s="2" t="s">
        <v>59</v>
      </c>
      <c r="C18" s="2">
        <v>8</v>
      </c>
      <c r="D18" s="2" t="s">
        <v>15</v>
      </c>
      <c r="E18" s="2" t="s">
        <v>60</v>
      </c>
      <c r="F18" s="2" t="s">
        <v>61</v>
      </c>
    </row>
    <row r="19" spans="1:6" x14ac:dyDescent="0.3">
      <c r="A19" s="2" t="s">
        <v>62</v>
      </c>
      <c r="B19" s="2" t="s">
        <v>63</v>
      </c>
      <c r="C19" s="2">
        <v>25</v>
      </c>
      <c r="D19" s="2" t="s">
        <v>15</v>
      </c>
      <c r="E19" s="2" t="s">
        <v>35</v>
      </c>
      <c r="F19" s="2" t="s">
        <v>64</v>
      </c>
    </row>
    <row r="20" spans="1:6" x14ac:dyDescent="0.3">
      <c r="A20" s="2" t="s">
        <v>65</v>
      </c>
      <c r="B20" s="2" t="s">
        <v>66</v>
      </c>
      <c r="C20" s="2">
        <v>30</v>
      </c>
      <c r="D20" s="2" t="s">
        <v>15</v>
      </c>
      <c r="E20" s="2" t="s">
        <v>35</v>
      </c>
      <c r="F20" s="2" t="s">
        <v>67</v>
      </c>
    </row>
    <row r="21" spans="1:6" x14ac:dyDescent="0.3">
      <c r="A21" s="2" t="s">
        <v>68</v>
      </c>
      <c r="B21" s="2" t="s">
        <v>69</v>
      </c>
      <c r="C21" s="2">
        <v>51</v>
      </c>
      <c r="D21" s="2" t="s">
        <v>39</v>
      </c>
      <c r="E21" s="2" t="s">
        <v>70</v>
      </c>
      <c r="F21" s="2" t="s">
        <v>71</v>
      </c>
    </row>
    <row r="22" spans="1:6" x14ac:dyDescent="0.3">
      <c r="A22" s="2" t="s">
        <v>72</v>
      </c>
      <c r="B22" s="2" t="s">
        <v>73</v>
      </c>
      <c r="C22" s="2">
        <v>7.9</v>
      </c>
      <c r="D22" s="2" t="s">
        <v>39</v>
      </c>
      <c r="E22" s="2" t="s">
        <v>70</v>
      </c>
      <c r="F22" s="2" t="s">
        <v>74</v>
      </c>
    </row>
    <row r="23" spans="1:6" x14ac:dyDescent="0.3">
      <c r="A23" s="2" t="s">
        <v>75</v>
      </c>
      <c r="B23" s="2" t="s">
        <v>76</v>
      </c>
      <c r="C23" s="2">
        <v>34.6</v>
      </c>
      <c r="D23" s="2" t="s">
        <v>39</v>
      </c>
      <c r="E23" s="2" t="s">
        <v>70</v>
      </c>
      <c r="F23" s="2" t="s">
        <v>77</v>
      </c>
    </row>
    <row r="24" spans="1:6" x14ac:dyDescent="0.3">
      <c r="A24" s="2" t="s">
        <v>78</v>
      </c>
      <c r="B24" s="2" t="s">
        <v>79</v>
      </c>
      <c r="C24" s="2">
        <v>5.4</v>
      </c>
      <c r="D24" s="2" t="s">
        <v>39</v>
      </c>
      <c r="E24" s="2" t="s">
        <v>70</v>
      </c>
      <c r="F24" s="2" t="s">
        <v>80</v>
      </c>
    </row>
    <row r="25" spans="1:6" x14ac:dyDescent="0.3">
      <c r="A25" s="2" t="s">
        <v>81</v>
      </c>
      <c r="B25" s="2" t="s">
        <v>82</v>
      </c>
      <c r="C25" s="2">
        <v>1.1000000000000001</v>
      </c>
      <c r="D25" s="2" t="s">
        <v>39</v>
      </c>
      <c r="E25" s="2" t="s">
        <v>70</v>
      </c>
      <c r="F25" s="2" t="s">
        <v>83</v>
      </c>
    </row>
    <row r="26" spans="1:6" x14ac:dyDescent="0.3">
      <c r="A26" s="2" t="s">
        <v>84</v>
      </c>
      <c r="B26" s="2" t="s">
        <v>85</v>
      </c>
      <c r="C26" s="2">
        <v>43</v>
      </c>
      <c r="D26" s="2" t="s">
        <v>39</v>
      </c>
      <c r="E26" s="2" t="s">
        <v>86</v>
      </c>
      <c r="F26" s="2" t="s">
        <v>87</v>
      </c>
    </row>
    <row r="27" spans="1:6" x14ac:dyDescent="0.3">
      <c r="A27" s="2" t="s">
        <v>88</v>
      </c>
      <c r="B27" s="2" t="s">
        <v>89</v>
      </c>
      <c r="C27" s="2">
        <v>6.5</v>
      </c>
      <c r="D27" s="2" t="s">
        <v>39</v>
      </c>
      <c r="E27" s="2" t="s">
        <v>86</v>
      </c>
      <c r="F27" s="2" t="s">
        <v>90</v>
      </c>
    </row>
    <row r="28" spans="1:6" x14ac:dyDescent="0.3">
      <c r="A28" s="2" t="s">
        <v>91</v>
      </c>
      <c r="B28" s="2" t="s">
        <v>92</v>
      </c>
      <c r="C28" s="2">
        <v>46</v>
      </c>
      <c r="D28" s="2" t="s">
        <v>39</v>
      </c>
      <c r="E28" s="2" t="s">
        <v>86</v>
      </c>
      <c r="F28" s="2" t="s">
        <v>93</v>
      </c>
    </row>
    <row r="29" spans="1:6" x14ac:dyDescent="0.3">
      <c r="A29" s="2" t="s">
        <v>94</v>
      </c>
      <c r="B29" s="2" t="s">
        <v>95</v>
      </c>
      <c r="C29" s="2">
        <v>3.5</v>
      </c>
      <c r="D29" s="2" t="s">
        <v>39</v>
      </c>
      <c r="E29" s="2" t="s">
        <v>86</v>
      </c>
      <c r="F29" s="2" t="s">
        <v>96</v>
      </c>
    </row>
    <row r="30" spans="1:6" x14ac:dyDescent="0.3">
      <c r="A30" s="2" t="s">
        <v>97</v>
      </c>
      <c r="B30" s="2" t="s">
        <v>98</v>
      </c>
      <c r="C30" s="2">
        <v>1</v>
      </c>
      <c r="D30" s="2" t="s">
        <v>39</v>
      </c>
      <c r="E30" s="2" t="s">
        <v>86</v>
      </c>
      <c r="F30" s="2" t="s">
        <v>99</v>
      </c>
    </row>
    <row r="31" spans="1:6" x14ac:dyDescent="0.3">
      <c r="A31" s="2" t="s">
        <v>100</v>
      </c>
      <c r="B31" s="2" t="s">
        <v>101</v>
      </c>
      <c r="C31" s="2">
        <v>48</v>
      </c>
      <c r="D31" s="2" t="s">
        <v>39</v>
      </c>
      <c r="E31" s="2" t="s">
        <v>102</v>
      </c>
      <c r="F31" s="2" t="s">
        <v>103</v>
      </c>
    </row>
    <row r="32" spans="1:6" x14ac:dyDescent="0.3">
      <c r="A32" s="2" t="s">
        <v>104</v>
      </c>
      <c r="B32" s="2" t="s">
        <v>105</v>
      </c>
      <c r="C32" s="2">
        <v>6.4</v>
      </c>
      <c r="D32" s="2" t="s">
        <v>39</v>
      </c>
      <c r="E32" s="2" t="s">
        <v>102</v>
      </c>
      <c r="F32" s="2" t="s">
        <v>106</v>
      </c>
    </row>
    <row r="33" spans="1:6" x14ac:dyDescent="0.3">
      <c r="A33" s="2" t="s">
        <v>107</v>
      </c>
      <c r="B33" s="2" t="s">
        <v>108</v>
      </c>
      <c r="C33" s="2">
        <v>42</v>
      </c>
      <c r="D33" s="2" t="s">
        <v>39</v>
      </c>
      <c r="E33" s="2" t="s">
        <v>109</v>
      </c>
      <c r="F33" s="2" t="s">
        <v>110</v>
      </c>
    </row>
    <row r="34" spans="1:6" x14ac:dyDescent="0.3">
      <c r="A34" s="2" t="s">
        <v>111</v>
      </c>
      <c r="B34" s="2" t="s">
        <v>112</v>
      </c>
      <c r="C34" s="2">
        <v>3.2</v>
      </c>
      <c r="D34" s="2" t="s">
        <v>39</v>
      </c>
      <c r="E34" s="2" t="s">
        <v>102</v>
      </c>
      <c r="F34" s="2" t="s">
        <v>113</v>
      </c>
    </row>
    <row r="35" spans="1:6" x14ac:dyDescent="0.3">
      <c r="A35" s="2" t="s">
        <v>114</v>
      </c>
      <c r="B35" s="2" t="s">
        <v>115</v>
      </c>
      <c r="C35" s="2">
        <v>0.4</v>
      </c>
      <c r="D35" s="2" t="s">
        <v>39</v>
      </c>
      <c r="E35" s="2" t="s">
        <v>102</v>
      </c>
      <c r="F35" s="2" t="s">
        <v>116</v>
      </c>
    </row>
    <row r="36" spans="1:6" x14ac:dyDescent="0.3">
      <c r="A36" s="2" t="s">
        <v>117</v>
      </c>
      <c r="B36" s="2" t="s">
        <v>118</v>
      </c>
      <c r="C36" s="2">
        <v>20</v>
      </c>
      <c r="D36" s="2" t="s">
        <v>119</v>
      </c>
      <c r="E36" s="2" t="s">
        <v>120</v>
      </c>
      <c r="F36" s="2" t="s">
        <v>121</v>
      </c>
    </row>
    <row r="37" spans="1:6" x14ac:dyDescent="0.3">
      <c r="A37" s="2" t="s">
        <v>122</v>
      </c>
      <c r="B37" s="2" t="s">
        <v>123</v>
      </c>
      <c r="C37" s="2">
        <v>35</v>
      </c>
      <c r="D37" s="2" t="s">
        <v>119</v>
      </c>
      <c r="E37" s="2" t="s">
        <v>124</v>
      </c>
      <c r="F37" s="2" t="s">
        <v>125</v>
      </c>
    </row>
    <row r="38" spans="1:6" x14ac:dyDescent="0.3">
      <c r="A38" s="2" t="s">
        <v>126</v>
      </c>
      <c r="B38" s="2" t="s">
        <v>127</v>
      </c>
      <c r="C38" s="2">
        <v>20</v>
      </c>
      <c r="D38" s="2" t="s">
        <v>128</v>
      </c>
      <c r="E38" s="2" t="s">
        <v>129</v>
      </c>
      <c r="F38" s="2" t="s">
        <v>130</v>
      </c>
    </row>
    <row r="39" spans="1:6" x14ac:dyDescent="0.3">
      <c r="A39" s="2" t="s">
        <v>131</v>
      </c>
      <c r="B39" s="2" t="s">
        <v>132</v>
      </c>
      <c r="C39" s="2">
        <v>55</v>
      </c>
      <c r="D39" s="2" t="s">
        <v>39</v>
      </c>
      <c r="E39" s="2" t="s">
        <v>133</v>
      </c>
      <c r="F39" s="2" t="s">
        <v>134</v>
      </c>
    </row>
    <row r="40" spans="1:6" x14ac:dyDescent="0.3">
      <c r="A40" s="2" t="s">
        <v>135</v>
      </c>
      <c r="B40" s="2" t="s">
        <v>136</v>
      </c>
      <c r="C40" s="2">
        <v>0.6</v>
      </c>
      <c r="D40" s="2" t="s">
        <v>137</v>
      </c>
      <c r="E40" s="2" t="s">
        <v>133</v>
      </c>
      <c r="F40" s="2" t="s">
        <v>138</v>
      </c>
    </row>
    <row r="41" spans="1:6" x14ac:dyDescent="0.3">
      <c r="A41" s="2" t="s">
        <v>139</v>
      </c>
      <c r="B41" s="2" t="s">
        <v>140</v>
      </c>
      <c r="C41" s="2">
        <v>62</v>
      </c>
      <c r="D41" s="2" t="s">
        <v>141</v>
      </c>
      <c r="E41" s="2" t="s">
        <v>133</v>
      </c>
      <c r="F41" s="2" t="s">
        <v>142</v>
      </c>
    </row>
    <row r="42" spans="1:6" x14ac:dyDescent="0.3">
      <c r="A42" s="2" t="s">
        <v>143</v>
      </c>
      <c r="B42" s="2" t="s">
        <v>144</v>
      </c>
      <c r="C42" s="2">
        <v>36</v>
      </c>
      <c r="D42" s="2" t="s">
        <v>141</v>
      </c>
      <c r="E42" s="2" t="s">
        <v>145</v>
      </c>
      <c r="F42" s="2" t="s">
        <v>146</v>
      </c>
    </row>
    <row r="43" spans="1:6" x14ac:dyDescent="0.3">
      <c r="A43" s="2" t="s">
        <v>147</v>
      </c>
      <c r="B43" s="2" t="s">
        <v>148</v>
      </c>
      <c r="C43" s="2">
        <v>2</v>
      </c>
      <c r="D43" s="2" t="s">
        <v>141</v>
      </c>
      <c r="E43" s="2" t="s">
        <v>149</v>
      </c>
      <c r="F43" s="2" t="s">
        <v>150</v>
      </c>
    </row>
    <row r="44" spans="1:6" x14ac:dyDescent="0.3">
      <c r="A44" s="2" t="s">
        <v>151</v>
      </c>
      <c r="B44" s="2" t="s">
        <v>152</v>
      </c>
      <c r="C44" s="2">
        <v>4</v>
      </c>
      <c r="D44" s="2" t="s">
        <v>153</v>
      </c>
      <c r="E44" s="2" t="s">
        <v>154</v>
      </c>
      <c r="F44" s="2" t="s">
        <v>155</v>
      </c>
    </row>
    <row r="45" spans="1:6" x14ac:dyDescent="0.3">
      <c r="A45" s="2" t="s">
        <v>156</v>
      </c>
      <c r="B45" s="2" t="s">
        <v>157</v>
      </c>
      <c r="C45" s="2">
        <v>15</v>
      </c>
      <c r="D45" s="2" t="s">
        <v>39</v>
      </c>
      <c r="E45" s="2" t="s">
        <v>16</v>
      </c>
      <c r="F45" s="2" t="s">
        <v>158</v>
      </c>
    </row>
    <row r="46" spans="1:6" x14ac:dyDescent="0.3">
      <c r="A46" s="2" t="s">
        <v>159</v>
      </c>
      <c r="B46" s="2" t="s">
        <v>160</v>
      </c>
      <c r="C46" s="2">
        <v>35.799999999999997</v>
      </c>
      <c r="D46" s="2" t="s">
        <v>161</v>
      </c>
      <c r="E46" s="2" t="s">
        <v>35</v>
      </c>
      <c r="F46" s="2" t="s">
        <v>162</v>
      </c>
    </row>
    <row r="47" spans="1:6" x14ac:dyDescent="0.3">
      <c r="A47" s="2" t="s">
        <v>163</v>
      </c>
      <c r="B47" s="2" t="s">
        <v>164</v>
      </c>
      <c r="C47" s="2">
        <v>0.38</v>
      </c>
      <c r="D47" s="2" t="s">
        <v>15</v>
      </c>
      <c r="E47" s="2" t="s">
        <v>165</v>
      </c>
      <c r="F47" s="2" t="s">
        <v>166</v>
      </c>
    </row>
    <row r="48" spans="1:6" x14ac:dyDescent="0.3">
      <c r="A48" s="2" t="s">
        <v>167</v>
      </c>
      <c r="B48" s="2" t="s">
        <v>168</v>
      </c>
      <c r="C48" s="2">
        <v>0.42</v>
      </c>
      <c r="D48" s="2" t="s">
        <v>15</v>
      </c>
      <c r="E48" s="2" t="s">
        <v>165</v>
      </c>
      <c r="F48" s="2" t="s">
        <v>169</v>
      </c>
    </row>
    <row r="49" spans="1:6" x14ac:dyDescent="0.3">
      <c r="A49" s="2" t="s">
        <v>170</v>
      </c>
      <c r="B49" s="2" t="s">
        <v>171</v>
      </c>
      <c r="C49" s="2">
        <v>0.05</v>
      </c>
      <c r="D49" s="2" t="s">
        <v>15</v>
      </c>
      <c r="E49" s="2" t="s">
        <v>16</v>
      </c>
      <c r="F49" s="2" t="s">
        <v>172</v>
      </c>
    </row>
    <row r="50" spans="1:6" x14ac:dyDescent="0.3">
      <c r="A50" s="2" t="s">
        <v>173</v>
      </c>
      <c r="B50" s="2" t="s">
        <v>174</v>
      </c>
      <c r="C50" s="2">
        <v>1.2</v>
      </c>
      <c r="D50" s="2" t="s">
        <v>175</v>
      </c>
      <c r="E50" s="2" t="s">
        <v>35</v>
      </c>
      <c r="F50" s="2" t="s">
        <v>176</v>
      </c>
    </row>
    <row r="51" spans="1:6" x14ac:dyDescent="0.3">
      <c r="A51" s="2" t="s">
        <v>177</v>
      </c>
      <c r="B51" s="2" t="s">
        <v>178</v>
      </c>
      <c r="C51" s="2">
        <v>0.75</v>
      </c>
      <c r="D51" s="2" t="s">
        <v>179</v>
      </c>
      <c r="E51" s="2" t="s">
        <v>16</v>
      </c>
      <c r="F51" s="2" t="s">
        <v>180</v>
      </c>
    </row>
    <row r="52" spans="1:6" x14ac:dyDescent="0.3">
      <c r="A52" s="2" t="s">
        <v>181</v>
      </c>
      <c r="B52" s="2" t="s">
        <v>182</v>
      </c>
      <c r="C52" s="2">
        <v>0.3</v>
      </c>
      <c r="D52" s="2" t="s">
        <v>183</v>
      </c>
      <c r="E52" s="2" t="s">
        <v>16</v>
      </c>
      <c r="F52" s="2" t="s">
        <v>184</v>
      </c>
    </row>
    <row r="53" spans="1:6" x14ac:dyDescent="0.3">
      <c r="A53" s="2" t="s">
        <v>185</v>
      </c>
      <c r="B53" s="2" t="s">
        <v>186</v>
      </c>
      <c r="C53" s="2">
        <v>25</v>
      </c>
      <c r="D53" s="2" t="s">
        <v>39</v>
      </c>
      <c r="E53" s="2" t="s">
        <v>16</v>
      </c>
      <c r="F53" s="2" t="s">
        <v>187</v>
      </c>
    </row>
    <row r="54" spans="1:6" x14ac:dyDescent="0.3">
      <c r="A54" s="2" t="s">
        <v>188</v>
      </c>
      <c r="B54" s="2" t="s">
        <v>189</v>
      </c>
      <c r="C54" s="2">
        <v>16</v>
      </c>
      <c r="D54" s="2" t="s">
        <v>190</v>
      </c>
      <c r="E54" s="2" t="s">
        <v>191</v>
      </c>
      <c r="F54" s="2" t="s">
        <v>192</v>
      </c>
    </row>
    <row r="55" spans="1:6" x14ac:dyDescent="0.3">
      <c r="A55" s="2" t="s">
        <v>193</v>
      </c>
      <c r="B55" s="2" t="s">
        <v>194</v>
      </c>
      <c r="C55" s="2">
        <v>44</v>
      </c>
      <c r="D55" s="2" t="s">
        <v>190</v>
      </c>
      <c r="E55" s="2" t="s">
        <v>191</v>
      </c>
      <c r="F55" s="2" t="s">
        <v>195</v>
      </c>
    </row>
    <row r="56" spans="1:6" x14ac:dyDescent="0.3">
      <c r="A56" s="2" t="s">
        <v>196</v>
      </c>
      <c r="B56" s="2" t="s">
        <v>197</v>
      </c>
      <c r="C56" s="2">
        <v>18</v>
      </c>
      <c r="D56" s="2" t="s">
        <v>190</v>
      </c>
      <c r="E56" s="2" t="s">
        <v>191</v>
      </c>
      <c r="F56" s="2" t="s">
        <v>198</v>
      </c>
    </row>
    <row r="57" spans="1:6" x14ac:dyDescent="0.3">
      <c r="A57" s="2" t="s">
        <v>199</v>
      </c>
      <c r="B57" s="2" t="s">
        <v>200</v>
      </c>
      <c r="C57" s="2">
        <v>12</v>
      </c>
      <c r="D57" s="2" t="s">
        <v>190</v>
      </c>
      <c r="E57" s="2" t="s">
        <v>191</v>
      </c>
      <c r="F57" s="2" t="s">
        <v>201</v>
      </c>
    </row>
    <row r="58" spans="1:6" x14ac:dyDescent="0.3">
      <c r="A58" s="2" t="s">
        <v>202</v>
      </c>
      <c r="B58" s="2" t="s">
        <v>203</v>
      </c>
      <c r="C58" s="2">
        <v>22.414000000000001</v>
      </c>
      <c r="D58" s="2" t="s">
        <v>204</v>
      </c>
      <c r="E58" s="2" t="s">
        <v>191</v>
      </c>
      <c r="F58" s="2" t="s">
        <v>205</v>
      </c>
    </row>
    <row r="59" spans="1:6" x14ac:dyDescent="0.3">
      <c r="A59" s="2" t="s">
        <v>206</v>
      </c>
      <c r="B59" s="2" t="s">
        <v>207</v>
      </c>
      <c r="C59" s="2">
        <v>29</v>
      </c>
      <c r="D59" s="2" t="s">
        <v>190</v>
      </c>
      <c r="E59" s="2" t="s">
        <v>16</v>
      </c>
      <c r="F59" s="2" t="s">
        <v>208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E8641-CF03-4948-BDA7-5756664EB2E3}">
  <dimension ref="A1:D38"/>
  <sheetViews>
    <sheetView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66.77734375" bestFit="1" customWidth="1"/>
    <col min="2" max="2" width="7.5546875" bestFit="1" customWidth="1"/>
    <col min="3" max="3" width="11.109375" bestFit="1" customWidth="1"/>
    <col min="4" max="4" width="37.21875" bestFit="1" customWidth="1"/>
  </cols>
  <sheetData>
    <row r="1" spans="1:4" ht="18" x14ac:dyDescent="0.35">
      <c r="A1" s="1" t="s">
        <v>209</v>
      </c>
      <c r="B1" s="2"/>
      <c r="C1" s="2"/>
      <c r="D1" s="2"/>
    </row>
    <row r="2" spans="1:4" x14ac:dyDescent="0.3">
      <c r="A2" s="3" t="s">
        <v>210</v>
      </c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4" t="s">
        <v>2</v>
      </c>
      <c r="B4" s="4" t="s">
        <v>4</v>
      </c>
      <c r="C4" s="4" t="s">
        <v>5</v>
      </c>
      <c r="D4" s="4" t="s">
        <v>7</v>
      </c>
    </row>
    <row r="5" spans="1:4" x14ac:dyDescent="0.3">
      <c r="A5" s="2" t="s">
        <v>211</v>
      </c>
      <c r="B5" s="5">
        <f>Premissas!C5*Premissas!C6</f>
        <v>50</v>
      </c>
      <c r="C5" s="2" t="s">
        <v>10</v>
      </c>
      <c r="D5" s="2" t="s">
        <v>212</v>
      </c>
    </row>
    <row r="6" spans="1:4" x14ac:dyDescent="0.3">
      <c r="A6" s="2" t="s">
        <v>213</v>
      </c>
      <c r="B6" s="5">
        <f>Premissas!C5*Premissas!C7</f>
        <v>30</v>
      </c>
      <c r="C6" s="2" t="s">
        <v>10</v>
      </c>
      <c r="D6" s="2" t="s">
        <v>214</v>
      </c>
    </row>
    <row r="7" spans="1:4" x14ac:dyDescent="0.3">
      <c r="A7" s="2" t="s">
        <v>215</v>
      </c>
      <c r="B7" s="5">
        <f>Premissas!C5*Premissas!C8</f>
        <v>20</v>
      </c>
      <c r="C7" s="2" t="s">
        <v>10</v>
      </c>
      <c r="D7" s="2" t="s">
        <v>216</v>
      </c>
    </row>
    <row r="8" spans="1:4" x14ac:dyDescent="0.3">
      <c r="A8" s="2" t="s">
        <v>217</v>
      </c>
      <c r="B8" s="5">
        <f>B5*Premissas!C9</f>
        <v>51000</v>
      </c>
      <c r="C8" s="2" t="s">
        <v>218</v>
      </c>
      <c r="D8" s="2" t="s">
        <v>219</v>
      </c>
    </row>
    <row r="9" spans="1:4" x14ac:dyDescent="0.3">
      <c r="A9" s="2" t="s">
        <v>220</v>
      </c>
      <c r="B9" s="5">
        <f>B6*Premissas!C10</f>
        <v>30270</v>
      </c>
      <c r="C9" s="2" t="s">
        <v>218</v>
      </c>
      <c r="D9" s="2" t="s">
        <v>221</v>
      </c>
    </row>
    <row r="10" spans="1:4" x14ac:dyDescent="0.3">
      <c r="A10" s="2" t="s">
        <v>222</v>
      </c>
      <c r="B10" s="5">
        <f>B7*Premissas!C11</f>
        <v>21000</v>
      </c>
      <c r="C10" s="2" t="s">
        <v>218</v>
      </c>
      <c r="D10" s="2" t="s">
        <v>223</v>
      </c>
    </row>
    <row r="11" spans="1:4" x14ac:dyDescent="0.3">
      <c r="A11" s="2" t="s">
        <v>224</v>
      </c>
      <c r="B11" s="5">
        <f>B8+B9+B10</f>
        <v>102270</v>
      </c>
      <c r="C11" s="2" t="s">
        <v>218</v>
      </c>
      <c r="D11" s="2" t="s">
        <v>225</v>
      </c>
    </row>
    <row r="12" spans="1:4" x14ac:dyDescent="0.3">
      <c r="A12" s="2" t="s">
        <v>226</v>
      </c>
      <c r="B12" s="5">
        <f>B8*Premissas!C12/100</f>
        <v>1785</v>
      </c>
      <c r="C12" s="2" t="s">
        <v>218</v>
      </c>
      <c r="D12" s="2" t="s">
        <v>227</v>
      </c>
    </row>
    <row r="13" spans="1:4" x14ac:dyDescent="0.3">
      <c r="A13" s="2" t="s">
        <v>228</v>
      </c>
      <c r="B13" s="5">
        <f>B9*Premissas!C13/100</f>
        <v>514.59</v>
      </c>
      <c r="C13" s="2" t="s">
        <v>218</v>
      </c>
      <c r="D13" s="2" t="s">
        <v>229</v>
      </c>
    </row>
    <row r="14" spans="1:4" x14ac:dyDescent="0.3">
      <c r="A14" s="2" t="s">
        <v>230</v>
      </c>
      <c r="B14" s="5">
        <f>B10*Premissas!C14/100</f>
        <v>4200</v>
      </c>
      <c r="C14" s="2" t="s">
        <v>218</v>
      </c>
      <c r="D14" s="2" t="s">
        <v>231</v>
      </c>
    </row>
    <row r="15" spans="1:4" x14ac:dyDescent="0.3">
      <c r="A15" s="2" t="s">
        <v>232</v>
      </c>
      <c r="B15" s="5">
        <f>B12+B13+B14</f>
        <v>6499.59</v>
      </c>
      <c r="C15" s="2" t="s">
        <v>218</v>
      </c>
      <c r="D15" s="2" t="s">
        <v>233</v>
      </c>
    </row>
    <row r="16" spans="1:4" x14ac:dyDescent="0.3">
      <c r="A16" s="2" t="s">
        <v>234</v>
      </c>
      <c r="B16" s="5">
        <f>B12*Premissas!C15/100</f>
        <v>1160.25</v>
      </c>
      <c r="C16" s="2" t="s">
        <v>218</v>
      </c>
      <c r="D16" s="2" t="s">
        <v>235</v>
      </c>
    </row>
    <row r="17" spans="1:4" x14ac:dyDescent="0.3">
      <c r="A17" s="2" t="s">
        <v>236</v>
      </c>
      <c r="B17" s="5">
        <f>B13*Premissas!C16/100</f>
        <v>385.9425</v>
      </c>
      <c r="C17" s="2" t="s">
        <v>218</v>
      </c>
      <c r="D17" s="2" t="s">
        <v>237</v>
      </c>
    </row>
    <row r="18" spans="1:4" x14ac:dyDescent="0.3">
      <c r="A18" s="2" t="s">
        <v>238</v>
      </c>
      <c r="B18" s="5">
        <f>B14*Premissas!C17/100</f>
        <v>3570</v>
      </c>
      <c r="C18" s="2" t="s">
        <v>218</v>
      </c>
      <c r="D18" s="2" t="s">
        <v>239</v>
      </c>
    </row>
    <row r="19" spans="1:4" x14ac:dyDescent="0.3">
      <c r="A19" s="2" t="s">
        <v>240</v>
      </c>
      <c r="B19" s="5">
        <f>B16+B17+B18</f>
        <v>5116.1925000000001</v>
      </c>
      <c r="C19" s="2" t="s">
        <v>218</v>
      </c>
      <c r="D19" s="2" t="s">
        <v>241</v>
      </c>
    </row>
    <row r="20" spans="1:4" x14ac:dyDescent="0.3">
      <c r="A20" s="2" t="s">
        <v>242</v>
      </c>
      <c r="B20" s="5">
        <f>(B16*Premissas!C18+B17*Premissas!C19+B18*Premissas!C20)/B19</f>
        <v>24.633663119595283</v>
      </c>
      <c r="C20" s="2" t="s">
        <v>15</v>
      </c>
      <c r="D20" s="2" t="s">
        <v>243</v>
      </c>
    </row>
    <row r="21" spans="1:4" x14ac:dyDescent="0.3">
      <c r="A21" s="2" t="s">
        <v>244</v>
      </c>
      <c r="B21" s="5">
        <f>B19*Premissas!C39/100</f>
        <v>2813.9058750000004</v>
      </c>
      <c r="C21" s="2" t="s">
        <v>218</v>
      </c>
      <c r="D21" s="2" t="s">
        <v>245</v>
      </c>
    </row>
    <row r="22" spans="1:4" x14ac:dyDescent="0.3">
      <c r="A22" s="2" t="s">
        <v>246</v>
      </c>
      <c r="B22" s="5">
        <f>B21*Premissas!C40</f>
        <v>1688.3435250000002</v>
      </c>
      <c r="C22" s="2" t="s">
        <v>247</v>
      </c>
      <c r="D22" s="2" t="s">
        <v>248</v>
      </c>
    </row>
    <row r="23" spans="1:4" x14ac:dyDescent="0.3">
      <c r="A23" s="2" t="s">
        <v>249</v>
      </c>
      <c r="B23" s="5">
        <f>B22*Premissas!C41/100</f>
        <v>1046.7729855</v>
      </c>
      <c r="C23" s="2" t="s">
        <v>247</v>
      </c>
      <c r="D23" s="2" t="s">
        <v>250</v>
      </c>
    </row>
    <row r="24" spans="1:4" x14ac:dyDescent="0.3">
      <c r="A24" s="2" t="s">
        <v>251</v>
      </c>
      <c r="B24" s="5">
        <f>B22*Premissas!C42/100</f>
        <v>607.80366900000013</v>
      </c>
      <c r="C24" s="2" t="s">
        <v>247</v>
      </c>
      <c r="D24" s="2" t="s">
        <v>252</v>
      </c>
    </row>
    <row r="25" spans="1:4" x14ac:dyDescent="0.3">
      <c r="A25" s="2" t="s">
        <v>253</v>
      </c>
      <c r="B25" s="5">
        <f>B22*Premissas!C43/100</f>
        <v>33.766870500000003</v>
      </c>
      <c r="C25" s="2" t="s">
        <v>247</v>
      </c>
      <c r="D25" s="2" t="s">
        <v>254</v>
      </c>
    </row>
    <row r="26" spans="1:4" x14ac:dyDescent="0.3">
      <c r="A26" s="2" t="s">
        <v>255</v>
      </c>
      <c r="B26" s="5">
        <f>B23/Premissas!C58</f>
        <v>46.70174826001606</v>
      </c>
      <c r="C26" s="2" t="s">
        <v>256</v>
      </c>
      <c r="D26" s="2" t="s">
        <v>257</v>
      </c>
    </row>
    <row r="27" spans="1:4" x14ac:dyDescent="0.3">
      <c r="A27" s="2" t="s">
        <v>258</v>
      </c>
      <c r="B27" s="5">
        <f>B26*Premissas!C54</f>
        <v>747.22797216025697</v>
      </c>
      <c r="C27" s="2" t="s">
        <v>218</v>
      </c>
      <c r="D27" s="2" t="s">
        <v>259</v>
      </c>
    </row>
    <row r="28" spans="1:4" x14ac:dyDescent="0.3">
      <c r="A28" s="2" t="s">
        <v>260</v>
      </c>
      <c r="B28" s="5">
        <f>B24/Premissas!C58</f>
        <v>27.117144150977072</v>
      </c>
      <c r="C28" s="2" t="s">
        <v>256</v>
      </c>
      <c r="D28" s="2" t="s">
        <v>261</v>
      </c>
    </row>
    <row r="29" spans="1:4" x14ac:dyDescent="0.3">
      <c r="A29" s="2" t="s">
        <v>262</v>
      </c>
      <c r="B29" s="5">
        <f>B28*Premissas!C55</f>
        <v>1193.1543426429912</v>
      </c>
      <c r="C29" s="2" t="s">
        <v>218</v>
      </c>
      <c r="D29" s="2" t="s">
        <v>263</v>
      </c>
    </row>
    <row r="30" spans="1:4" x14ac:dyDescent="0.3">
      <c r="A30" s="2" t="s">
        <v>264</v>
      </c>
      <c r="B30" s="5">
        <f>B25/Premissas!C58</f>
        <v>1.506508008387615</v>
      </c>
      <c r="C30" s="2" t="s">
        <v>256</v>
      </c>
      <c r="D30" s="2" t="s">
        <v>265</v>
      </c>
    </row>
    <row r="31" spans="1:4" x14ac:dyDescent="0.3">
      <c r="A31" s="2" t="s">
        <v>266</v>
      </c>
      <c r="B31" s="5">
        <f>B30*Premissas!C59</f>
        <v>43.688732243240835</v>
      </c>
      <c r="C31" s="2" t="s">
        <v>218</v>
      </c>
      <c r="D31" s="2" t="s">
        <v>267</v>
      </c>
    </row>
    <row r="32" spans="1:4" x14ac:dyDescent="0.3">
      <c r="A32" s="2" t="s">
        <v>268</v>
      </c>
      <c r="B32" s="5">
        <f>B27+B29+B31</f>
        <v>1984.071047046489</v>
      </c>
      <c r="C32" s="2" t="s">
        <v>218</v>
      </c>
      <c r="D32" s="2" t="s">
        <v>269</v>
      </c>
    </row>
    <row r="33" spans="1:4" x14ac:dyDescent="0.3">
      <c r="A33" s="2" t="s">
        <v>270</v>
      </c>
      <c r="B33" s="5">
        <f>Premissas!C5*Premissas!C38</f>
        <v>2000</v>
      </c>
      <c r="C33" s="2" t="s">
        <v>271</v>
      </c>
      <c r="D33" s="2" t="s">
        <v>272</v>
      </c>
    </row>
    <row r="34" spans="1:4" x14ac:dyDescent="0.3">
      <c r="A34" s="2" t="s">
        <v>273</v>
      </c>
      <c r="B34" s="5">
        <f>B19/B33</f>
        <v>2.5580962500000002</v>
      </c>
      <c r="C34" s="2" t="s">
        <v>274</v>
      </c>
      <c r="D34" s="2" t="s">
        <v>275</v>
      </c>
    </row>
    <row r="35" spans="1:4" x14ac:dyDescent="0.3">
      <c r="A35" s="2" t="s">
        <v>276</v>
      </c>
      <c r="B35" s="5">
        <f>B19-B21</f>
        <v>2302.2866249999997</v>
      </c>
      <c r="C35" s="2" t="s">
        <v>218</v>
      </c>
      <c r="D35" s="2" t="s">
        <v>277</v>
      </c>
    </row>
    <row r="36" spans="1:4" x14ac:dyDescent="0.3">
      <c r="A36" s="2" t="s">
        <v>278</v>
      </c>
      <c r="B36" s="5">
        <f>B15-B19</f>
        <v>1383.3975</v>
      </c>
      <c r="C36" s="2" t="s">
        <v>218</v>
      </c>
      <c r="D36" s="2" t="s">
        <v>279</v>
      </c>
    </row>
    <row r="37" spans="1:4" x14ac:dyDescent="0.3">
      <c r="A37" s="2" t="s">
        <v>280</v>
      </c>
      <c r="B37" s="5">
        <f>B35+B36</f>
        <v>3685.6841249999998</v>
      </c>
      <c r="C37" s="2" t="s">
        <v>218</v>
      </c>
      <c r="D37" s="2" t="s">
        <v>281</v>
      </c>
    </row>
    <row r="38" spans="1:4" x14ac:dyDescent="0.3">
      <c r="A38" s="2" t="s">
        <v>282</v>
      </c>
      <c r="B38" s="5">
        <f>B11-B32</f>
        <v>100285.92895295352</v>
      </c>
      <c r="C38" s="2" t="s">
        <v>218</v>
      </c>
      <c r="D38" s="2" t="s">
        <v>283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C3A5-BF25-4259-978C-E77D8D9FC312}">
  <dimension ref="A1:H15"/>
  <sheetViews>
    <sheetView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89.6640625" bestFit="1" customWidth="1"/>
    <col min="2" max="2" width="12.44140625" bestFit="1" customWidth="1"/>
    <col min="3" max="3" width="15.109375" bestFit="1" customWidth="1"/>
    <col min="4" max="4" width="15" bestFit="1" customWidth="1"/>
    <col min="5" max="5" width="19.6640625" bestFit="1" customWidth="1"/>
    <col min="6" max="6" width="16.6640625" bestFit="1" customWidth="1"/>
    <col min="7" max="7" width="23.77734375" bestFit="1" customWidth="1"/>
    <col min="8" max="8" width="44.44140625" bestFit="1" customWidth="1"/>
  </cols>
  <sheetData>
    <row r="1" spans="1:8" ht="18" x14ac:dyDescent="0.35">
      <c r="A1" s="1" t="s">
        <v>284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285</v>
      </c>
      <c r="B2" s="2"/>
      <c r="C2" s="2"/>
      <c r="D2" s="2"/>
      <c r="E2" s="2"/>
      <c r="F2" s="2"/>
      <c r="G2" s="2"/>
      <c r="H2" s="2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x14ac:dyDescent="0.3">
      <c r="A4" s="4" t="s">
        <v>286</v>
      </c>
      <c r="B4" s="4" t="s">
        <v>287</v>
      </c>
      <c r="C4" s="4" t="s">
        <v>288</v>
      </c>
      <c r="D4" s="4" t="s">
        <v>289</v>
      </c>
      <c r="E4" s="4" t="s">
        <v>290</v>
      </c>
      <c r="F4" s="4" t="s">
        <v>291</v>
      </c>
      <c r="G4" s="4" t="s">
        <v>292</v>
      </c>
      <c r="H4" s="4" t="s">
        <v>293</v>
      </c>
    </row>
    <row r="5" spans="1:8" x14ac:dyDescent="0.3">
      <c r="A5" s="2" t="s">
        <v>294</v>
      </c>
      <c r="B5" s="5">
        <f>Calculos_Massa!B16*Premissas!C21/100</f>
        <v>591.72749999999996</v>
      </c>
      <c r="C5" s="5">
        <f>Calculos_Massa!B17*Premissas!C26/100</f>
        <v>165.955275</v>
      </c>
      <c r="D5" s="5">
        <f>Calculos_Massa!B18*Premissas!C31/100</f>
        <v>1713.6</v>
      </c>
      <c r="E5" s="5">
        <f>B5+C5+D5</f>
        <v>2471.2827749999997</v>
      </c>
      <c r="F5" s="5">
        <f>Calculos_Massa!B26*Premissas!C57+Calculos_Massa!B28*Premissas!C57</f>
        <v>885.82670893191755</v>
      </c>
      <c r="G5" s="5">
        <f>E5-F5</f>
        <v>1585.4560660680822</v>
      </c>
      <c r="H5" s="2" t="s">
        <v>295</v>
      </c>
    </row>
    <row r="6" spans="1:8" x14ac:dyDescent="0.3">
      <c r="A6" s="2" t="s">
        <v>296</v>
      </c>
      <c r="B6" s="5">
        <f>Calculos_Massa!B16*Premissas!C22/100</f>
        <v>91.659750000000003</v>
      </c>
      <c r="C6" s="5">
        <f>Calculos_Massa!B17*Premissas!C27/100</f>
        <v>25.086262499999997</v>
      </c>
      <c r="D6" s="5">
        <f>Calculos_Massa!B18*Premissas!C32/100</f>
        <v>228.48</v>
      </c>
      <c r="E6" s="5">
        <f>B6+C6+D6</f>
        <v>345.22601250000002</v>
      </c>
      <c r="F6" s="5">
        <f>Calculos_Massa!B26*4</f>
        <v>186.80699304006424</v>
      </c>
      <c r="G6" s="5">
        <f>E6-F6</f>
        <v>158.41901945993578</v>
      </c>
      <c r="H6" s="2" t="s">
        <v>297</v>
      </c>
    </row>
    <row r="7" spans="1:8" x14ac:dyDescent="0.3">
      <c r="A7" s="2" t="s">
        <v>298</v>
      </c>
      <c r="B7" s="5">
        <f>Calculos_Massa!B16*Premissas!C23/100</f>
        <v>401.44650000000001</v>
      </c>
      <c r="C7" s="5">
        <f>Calculos_Massa!B17*Premissas!C28/100</f>
        <v>177.53354999999999</v>
      </c>
      <c r="D7" s="5">
        <f>Calculos_Massa!B18*Premissas!C33/100</f>
        <v>1499.4</v>
      </c>
      <c r="E7" s="5">
        <f>B7+C7+D7</f>
        <v>2078.3800500000002</v>
      </c>
      <c r="F7" s="5">
        <f>Calculos_Massa!B28*32</f>
        <v>867.74861283126631</v>
      </c>
      <c r="G7" s="5">
        <f>E7-F7</f>
        <v>1210.631437168734</v>
      </c>
      <c r="H7" s="2" t="s">
        <v>299</v>
      </c>
    </row>
    <row r="8" spans="1:8" x14ac:dyDescent="0.3">
      <c r="A8" s="2" t="s">
        <v>300</v>
      </c>
      <c r="B8" s="5">
        <f>Calculos_Massa!B16*Premissas!C24/100</f>
        <v>62.653500000000001</v>
      </c>
      <c r="C8" s="5">
        <f>Calculos_Massa!B17*Premissas!C29/100</f>
        <v>13.507987499999999</v>
      </c>
      <c r="D8" s="5">
        <f>Calculos_Massa!B18*Premissas!C34/100</f>
        <v>114.24</v>
      </c>
      <c r="E8" s="5">
        <f>B8+C8+D8</f>
        <v>190.40148749999997</v>
      </c>
      <c r="F8" s="5">
        <v>0</v>
      </c>
      <c r="G8" s="5">
        <f>E8-F8</f>
        <v>190.40148749999997</v>
      </c>
      <c r="H8" s="2" t="s">
        <v>301</v>
      </c>
    </row>
    <row r="9" spans="1:8" x14ac:dyDescent="0.3">
      <c r="A9" s="2" t="s">
        <v>302</v>
      </c>
      <c r="B9" s="5">
        <f>Calculos_Massa!B16*Premissas!C25/100</f>
        <v>12.76275</v>
      </c>
      <c r="C9" s="5">
        <f>Calculos_Massa!B17*Premissas!C30/100</f>
        <v>3.8594249999999999</v>
      </c>
      <c r="D9" s="5">
        <f>Calculos_Massa!B18*Premissas!C35/100</f>
        <v>14.28</v>
      </c>
      <c r="E9" s="5">
        <f>B9+C9+D9</f>
        <v>30.902175</v>
      </c>
      <c r="F9" s="5">
        <v>0</v>
      </c>
      <c r="G9" s="5">
        <f>E9-F9</f>
        <v>30.902175</v>
      </c>
      <c r="H9" s="2" t="s">
        <v>303</v>
      </c>
    </row>
    <row r="10" spans="1:8" x14ac:dyDescent="0.3">
      <c r="A10" s="6" t="s">
        <v>304</v>
      </c>
      <c r="B10" s="7">
        <f>SUM(B5:B9)</f>
        <v>1160.25</v>
      </c>
      <c r="C10" s="7">
        <f>SUM(C5:C9)</f>
        <v>385.9425</v>
      </c>
      <c r="D10" s="7">
        <f>SUM(D5:D9)</f>
        <v>3570</v>
      </c>
      <c r="E10" s="7">
        <f>SUM(E5:E9)</f>
        <v>5116.192500000001</v>
      </c>
      <c r="F10" s="7">
        <f>SUM(F5:F9)</f>
        <v>1940.3823148032479</v>
      </c>
      <c r="G10" s="7">
        <f>SUM(G5:G9)</f>
        <v>3175.8101851967517</v>
      </c>
      <c r="H10" s="6"/>
    </row>
    <row r="11" spans="1:8" x14ac:dyDescent="0.3">
      <c r="A11" s="2"/>
      <c r="B11" s="2"/>
      <c r="C11" s="2"/>
      <c r="D11" s="2"/>
      <c r="E11" s="2"/>
      <c r="F11" s="2"/>
      <c r="G11" s="2"/>
      <c r="H11" s="2"/>
    </row>
    <row r="12" spans="1:8" x14ac:dyDescent="0.3">
      <c r="A12" s="6" t="s">
        <v>305</v>
      </c>
      <c r="B12" s="8">
        <f>E5/E8</f>
        <v>12.979324938309635</v>
      </c>
      <c r="C12" s="2"/>
      <c r="D12" s="2"/>
      <c r="E12" s="2"/>
      <c r="F12" s="2"/>
      <c r="G12" s="2"/>
      <c r="H12" s="2"/>
    </row>
    <row r="13" spans="1:8" x14ac:dyDescent="0.3">
      <c r="A13" s="2" t="s">
        <v>306</v>
      </c>
      <c r="B13" s="2"/>
      <c r="C13" s="2"/>
      <c r="D13" s="2"/>
      <c r="E13" s="2"/>
      <c r="F13" s="2"/>
      <c r="G13" s="2"/>
      <c r="H13" s="2"/>
    </row>
    <row r="14" spans="1:8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6" t="s">
        <v>307</v>
      </c>
      <c r="B15" s="8">
        <f>F5/E5*100</f>
        <v>35.844813790357023</v>
      </c>
      <c r="C15" s="2" t="s">
        <v>39</v>
      </c>
      <c r="D15" s="2"/>
      <c r="E15" s="2"/>
      <c r="F15" s="2"/>
      <c r="G15" s="2"/>
      <c r="H15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7D91-D5E3-4F4F-B05A-577402DE8459}">
  <dimension ref="A1:G14"/>
  <sheetViews>
    <sheetView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69.5546875" bestFit="1" customWidth="1"/>
    <col min="2" max="2" width="24" bestFit="1" customWidth="1"/>
    <col min="3" max="3" width="18.109375" bestFit="1" customWidth="1"/>
    <col min="4" max="4" width="10.21875" bestFit="1" customWidth="1"/>
    <col min="5" max="5" width="10.44140625" bestFit="1" customWidth="1"/>
    <col min="6" max="6" width="19.21875" bestFit="1" customWidth="1"/>
    <col min="7" max="7" width="34.5546875" bestFit="1" customWidth="1"/>
  </cols>
  <sheetData>
    <row r="1" spans="1:7" ht="18" x14ac:dyDescent="0.35">
      <c r="A1" s="1" t="s">
        <v>308</v>
      </c>
      <c r="B1" s="2"/>
      <c r="C1" s="2"/>
      <c r="D1" s="2"/>
      <c r="E1" s="2"/>
      <c r="F1" s="2"/>
      <c r="G1" s="2"/>
    </row>
    <row r="2" spans="1:7" x14ac:dyDescent="0.3">
      <c r="A2" s="3" t="s">
        <v>309</v>
      </c>
      <c r="B2" s="2"/>
      <c r="C2" s="2"/>
      <c r="D2" s="2"/>
      <c r="E2" s="2"/>
      <c r="F2" s="2"/>
      <c r="G2" s="2"/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4" t="s">
        <v>310</v>
      </c>
      <c r="B4" s="4" t="s">
        <v>311</v>
      </c>
      <c r="C4" s="4" t="s">
        <v>312</v>
      </c>
      <c r="D4" s="4" t="s">
        <v>313</v>
      </c>
      <c r="E4" s="4" t="s">
        <v>314</v>
      </c>
      <c r="F4" s="4" t="s">
        <v>315</v>
      </c>
      <c r="G4" s="4" t="s">
        <v>293</v>
      </c>
    </row>
    <row r="5" spans="1:7" x14ac:dyDescent="0.3">
      <c r="A5" s="2">
        <v>101</v>
      </c>
      <c r="B5" s="2" t="s">
        <v>316</v>
      </c>
      <c r="C5" s="5">
        <f>Calculos_Massa!B8</f>
        <v>51000</v>
      </c>
      <c r="D5" s="5">
        <f>Calculos_Massa!B12</f>
        <v>1785</v>
      </c>
      <c r="E5" s="5">
        <f>Calculos_Massa!B16</f>
        <v>1160.25</v>
      </c>
      <c r="F5" s="5">
        <f>C5-D5</f>
        <v>49215</v>
      </c>
      <c r="G5" s="2" t="s">
        <v>317</v>
      </c>
    </row>
    <row r="6" spans="1:7" x14ac:dyDescent="0.3">
      <c r="A6" s="2">
        <v>102</v>
      </c>
      <c r="B6" s="2" t="s">
        <v>318</v>
      </c>
      <c r="C6" s="5">
        <f>Calculos_Massa!B9</f>
        <v>30270</v>
      </c>
      <c r="D6" s="5">
        <f>Calculos_Massa!B13</f>
        <v>514.59</v>
      </c>
      <c r="E6" s="5">
        <f>Calculos_Massa!B17</f>
        <v>385.9425</v>
      </c>
      <c r="F6" s="5">
        <f>C6-D6</f>
        <v>29755.41</v>
      </c>
      <c r="G6" s="2" t="s">
        <v>319</v>
      </c>
    </row>
    <row r="7" spans="1:7" x14ac:dyDescent="0.3">
      <c r="A7" s="2">
        <v>103</v>
      </c>
      <c r="B7" s="2" t="s">
        <v>320</v>
      </c>
      <c r="C7" s="5">
        <f>Calculos_Massa!B10</f>
        <v>21000</v>
      </c>
      <c r="D7" s="5">
        <f>Calculos_Massa!B14</f>
        <v>4200</v>
      </c>
      <c r="E7" s="5">
        <f>Calculos_Massa!B18</f>
        <v>3570</v>
      </c>
      <c r="F7" s="5">
        <f>C7-D7</f>
        <v>16800</v>
      </c>
      <c r="G7" s="2" t="s">
        <v>321</v>
      </c>
    </row>
    <row r="8" spans="1:7" x14ac:dyDescent="0.3">
      <c r="A8" s="2">
        <v>104</v>
      </c>
      <c r="B8" s="2" t="s">
        <v>322</v>
      </c>
      <c r="C8" s="5">
        <f>Calculos_Massa!B11</f>
        <v>102270</v>
      </c>
      <c r="D8" s="5">
        <f>Calculos_Massa!B15</f>
        <v>6499.59</v>
      </c>
      <c r="E8" s="5">
        <f>Calculos_Massa!B19</f>
        <v>5116.1925000000001</v>
      </c>
      <c r="F8" s="5">
        <f>C8-D8</f>
        <v>95770.41</v>
      </c>
      <c r="G8" s="2" t="s">
        <v>323</v>
      </c>
    </row>
    <row r="9" spans="1:7" x14ac:dyDescent="0.3">
      <c r="A9" s="2">
        <v>105</v>
      </c>
      <c r="B9" s="2" t="s">
        <v>324</v>
      </c>
      <c r="C9" s="5">
        <f>Calculos_Massa!B32</f>
        <v>1984.071047046489</v>
      </c>
      <c r="D9" s="5">
        <v>0</v>
      </c>
      <c r="E9" s="5">
        <v>0</v>
      </c>
      <c r="F9" s="5">
        <f>C9</f>
        <v>1984.071047046489</v>
      </c>
      <c r="G9" s="2" t="s">
        <v>325</v>
      </c>
    </row>
    <row r="10" spans="1:7" x14ac:dyDescent="0.3">
      <c r="A10" s="2">
        <v>106</v>
      </c>
      <c r="B10" s="2" t="s">
        <v>326</v>
      </c>
      <c r="C10" s="5">
        <f>Calculos_Massa!B38</f>
        <v>100285.92895295352</v>
      </c>
      <c r="D10" s="5">
        <f>Calculos_Massa!B37</f>
        <v>3685.6841249999998</v>
      </c>
      <c r="E10" s="5">
        <f>Calculos_Massa!B35</f>
        <v>2302.2866249999997</v>
      </c>
      <c r="F10" s="5">
        <f>C10-D10</f>
        <v>96600.244827953517</v>
      </c>
      <c r="G10" s="2" t="s">
        <v>327</v>
      </c>
    </row>
    <row r="11" spans="1:7" x14ac:dyDescent="0.3">
      <c r="A11" s="2">
        <v>107</v>
      </c>
      <c r="B11" s="2" t="s">
        <v>328</v>
      </c>
      <c r="C11" s="5">
        <f>Calculos_Massa!B27</f>
        <v>747.22797216025697</v>
      </c>
      <c r="D11" s="5" t="s">
        <v>15</v>
      </c>
      <c r="E11" s="5" t="s">
        <v>15</v>
      </c>
      <c r="F11" s="5">
        <f>C11</f>
        <v>747.22797216025697</v>
      </c>
      <c r="G11" s="2" t="s">
        <v>329</v>
      </c>
    </row>
    <row r="12" spans="1:7" x14ac:dyDescent="0.3">
      <c r="A12" s="2">
        <v>108</v>
      </c>
      <c r="B12" s="2" t="s">
        <v>330</v>
      </c>
      <c r="C12" s="5">
        <f>Calculos_Massa!B29</f>
        <v>1193.1543426429912</v>
      </c>
      <c r="D12" s="5" t="s">
        <v>15</v>
      </c>
      <c r="E12" s="5" t="s">
        <v>15</v>
      </c>
      <c r="F12" s="5">
        <f>C12</f>
        <v>1193.1543426429912</v>
      </c>
      <c r="G12" s="2" t="s">
        <v>331</v>
      </c>
    </row>
    <row r="13" spans="1:7" x14ac:dyDescent="0.3">
      <c r="A13" s="2">
        <v>109</v>
      </c>
      <c r="B13" s="2" t="s">
        <v>332</v>
      </c>
      <c r="C13" s="5">
        <f>Calculos_Massa!B37/Premissas!C53*100</f>
        <v>14742.736499999997</v>
      </c>
      <c r="D13" s="5">
        <f>Calculos_Massa!B37</f>
        <v>3685.6841249999998</v>
      </c>
      <c r="E13" s="5">
        <f>Calculos_Massa!B35</f>
        <v>2302.2866249999997</v>
      </c>
      <c r="F13" s="5">
        <f>C13-D13</f>
        <v>11057.052374999997</v>
      </c>
      <c r="G13" s="2" t="s">
        <v>333</v>
      </c>
    </row>
    <row r="14" spans="1:7" x14ac:dyDescent="0.3">
      <c r="A14" s="2">
        <v>110</v>
      </c>
      <c r="B14" s="2" t="s">
        <v>334</v>
      </c>
      <c r="C14" s="5">
        <f>C10-C13</f>
        <v>85543.192452953517</v>
      </c>
      <c r="D14" s="5">
        <v>0</v>
      </c>
      <c r="E14" s="5">
        <v>0</v>
      </c>
      <c r="F14" s="5">
        <f>C14</f>
        <v>85543.192452953517</v>
      </c>
      <c r="G14" s="2" t="s">
        <v>335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3618-7FB1-49FC-8D98-C395CEB2F463}">
  <dimension ref="A1:D16"/>
  <sheetViews>
    <sheetView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64.5546875" bestFit="1" customWidth="1"/>
    <col min="2" max="2" width="6.5546875" bestFit="1" customWidth="1"/>
    <col min="3" max="3" width="8.109375" bestFit="1" customWidth="1"/>
    <col min="4" max="4" width="45.44140625" bestFit="1" customWidth="1"/>
  </cols>
  <sheetData>
    <row r="1" spans="1:4" ht="18" x14ac:dyDescent="0.35">
      <c r="A1" s="1" t="s">
        <v>336</v>
      </c>
      <c r="B1" s="2"/>
      <c r="C1" s="2"/>
      <c r="D1" s="2"/>
    </row>
    <row r="2" spans="1:4" x14ac:dyDescent="0.3">
      <c r="A2" s="3" t="s">
        <v>337</v>
      </c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4" t="s">
        <v>338</v>
      </c>
      <c r="B4" s="4" t="s">
        <v>4</v>
      </c>
      <c r="C4" s="4" t="s">
        <v>5</v>
      </c>
      <c r="D4" s="4" t="s">
        <v>7</v>
      </c>
    </row>
    <row r="5" spans="1:4" x14ac:dyDescent="0.3">
      <c r="A5" s="2" t="s">
        <v>339</v>
      </c>
      <c r="B5" s="5">
        <f>Calculos_Massa!B11*Premissas!C44*(Premissas!C37-Premissas!C36)/1000</f>
        <v>6136.2</v>
      </c>
      <c r="C5" s="2" t="s">
        <v>340</v>
      </c>
      <c r="D5" s="2" t="s">
        <v>341</v>
      </c>
    </row>
    <row r="6" spans="1:4" x14ac:dyDescent="0.3">
      <c r="A6" s="2" t="s">
        <v>342</v>
      </c>
      <c r="B6" s="5">
        <f>B5*Premissas!C45/100</f>
        <v>920.43</v>
      </c>
      <c r="C6" s="2" t="s">
        <v>340</v>
      </c>
      <c r="D6" s="2" t="s">
        <v>343</v>
      </c>
    </row>
    <row r="7" spans="1:4" x14ac:dyDescent="0.3">
      <c r="A7" s="2" t="s">
        <v>344</v>
      </c>
      <c r="B7" s="5">
        <f>Premissas!C50*Calculos_Massa!B21</f>
        <v>3376.6870500000005</v>
      </c>
      <c r="C7" s="2" t="s">
        <v>340</v>
      </c>
      <c r="D7" s="2" t="s">
        <v>345</v>
      </c>
    </row>
    <row r="8" spans="1:4" x14ac:dyDescent="0.3">
      <c r="A8" s="2" t="s">
        <v>346</v>
      </c>
      <c r="B8" s="5">
        <f>B5+B6-B7</f>
        <v>3679.9429499999997</v>
      </c>
      <c r="C8" s="2" t="s">
        <v>340</v>
      </c>
      <c r="D8" s="2" t="s">
        <v>347</v>
      </c>
    </row>
    <row r="9" spans="1:4" x14ac:dyDescent="0.3">
      <c r="A9" s="2" t="s">
        <v>348</v>
      </c>
      <c r="B9" s="5">
        <f>Calculos_Massa!B23*Premissas!C46</f>
        <v>37474.472880900001</v>
      </c>
      <c r="C9" s="2" t="s">
        <v>340</v>
      </c>
      <c r="D9" s="2" t="s">
        <v>349</v>
      </c>
    </row>
    <row r="10" spans="1:4" x14ac:dyDescent="0.3">
      <c r="A10" s="2" t="s">
        <v>350</v>
      </c>
      <c r="B10" s="5">
        <f>B9*Premissas!C47</f>
        <v>14240.299694742</v>
      </c>
      <c r="C10" s="2" t="s">
        <v>340</v>
      </c>
      <c r="D10" s="2" t="s">
        <v>351</v>
      </c>
    </row>
    <row r="11" spans="1:4" x14ac:dyDescent="0.3">
      <c r="A11" s="2" t="s">
        <v>352</v>
      </c>
      <c r="B11" s="5">
        <f>B10/3.6</f>
        <v>3955.6388040949996</v>
      </c>
      <c r="C11" s="2" t="s">
        <v>353</v>
      </c>
      <c r="D11" s="2" t="s">
        <v>354</v>
      </c>
    </row>
    <row r="12" spans="1:4" x14ac:dyDescent="0.3">
      <c r="A12" s="2" t="s">
        <v>355</v>
      </c>
      <c r="B12" s="5">
        <f>B9*Premissas!C48</f>
        <v>15739.278609978001</v>
      </c>
      <c r="C12" s="2" t="s">
        <v>340</v>
      </c>
      <c r="D12" s="2" t="s">
        <v>356</v>
      </c>
    </row>
    <row r="13" spans="1:4" x14ac:dyDescent="0.3">
      <c r="A13" s="2" t="s">
        <v>357</v>
      </c>
      <c r="B13" s="5">
        <f>B12-B8</f>
        <v>12059.335659978002</v>
      </c>
      <c r="C13" s="2" t="s">
        <v>340</v>
      </c>
      <c r="D13" s="2" t="s">
        <v>358</v>
      </c>
    </row>
    <row r="14" spans="1:4" x14ac:dyDescent="0.3">
      <c r="A14" s="2" t="s">
        <v>359</v>
      </c>
      <c r="B14" s="5">
        <f>B11*Premissas!C49</f>
        <v>197.78194020474999</v>
      </c>
      <c r="C14" s="2" t="s">
        <v>353</v>
      </c>
      <c r="D14" s="2" t="s">
        <v>360</v>
      </c>
    </row>
    <row r="15" spans="1:4" x14ac:dyDescent="0.3">
      <c r="A15" s="2" t="s">
        <v>361</v>
      </c>
      <c r="B15" s="5">
        <f>B11-B14</f>
        <v>3757.8568638902498</v>
      </c>
      <c r="C15" s="2" t="s">
        <v>353</v>
      </c>
      <c r="D15" s="2" t="s">
        <v>362</v>
      </c>
    </row>
    <row r="16" spans="1:4" x14ac:dyDescent="0.3">
      <c r="A16" s="2" t="s">
        <v>363</v>
      </c>
      <c r="B16" s="5">
        <f>B15/24</f>
        <v>156.5773693287604</v>
      </c>
      <c r="C16" s="2" t="s">
        <v>364</v>
      </c>
      <c r="D16" s="2" t="s">
        <v>365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1727-CD86-4945-B745-0B0AEBEC1927}">
  <dimension ref="A1:F22"/>
  <sheetViews>
    <sheetView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54.5546875" bestFit="1" customWidth="1"/>
    <col min="2" max="2" width="29.109375" bestFit="1" customWidth="1"/>
    <col min="3" max="3" width="50.33203125" bestFit="1" customWidth="1"/>
    <col min="4" max="4" width="38.6640625" bestFit="1" customWidth="1"/>
    <col min="5" max="5" width="13.109375" bestFit="1" customWidth="1"/>
    <col min="6" max="6" width="49.44140625" bestFit="1" customWidth="1"/>
  </cols>
  <sheetData>
    <row r="1" spans="1:6" ht="18" x14ac:dyDescent="0.35">
      <c r="A1" s="1" t="s">
        <v>366</v>
      </c>
      <c r="B1" s="2"/>
      <c r="C1" s="2"/>
      <c r="D1" s="2"/>
      <c r="E1" s="2"/>
      <c r="F1" s="2"/>
    </row>
    <row r="2" spans="1:6" x14ac:dyDescent="0.3">
      <c r="A2" s="3" t="s">
        <v>367</v>
      </c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4" t="s">
        <v>368</v>
      </c>
      <c r="B4" s="4" t="s">
        <v>369</v>
      </c>
      <c r="C4" s="4" t="s">
        <v>370</v>
      </c>
      <c r="D4" s="4" t="s">
        <v>371</v>
      </c>
      <c r="E4" s="4" t="s">
        <v>372</v>
      </c>
      <c r="F4" s="4" t="s">
        <v>293</v>
      </c>
    </row>
    <row r="5" spans="1:6" x14ac:dyDescent="0.3">
      <c r="A5" s="2" t="s">
        <v>373</v>
      </c>
      <c r="B5" s="2" t="s">
        <v>374</v>
      </c>
      <c r="C5" s="2" t="s">
        <v>375</v>
      </c>
      <c r="D5" s="2" t="s">
        <v>376</v>
      </c>
      <c r="E5" s="9">
        <v>0</v>
      </c>
      <c r="F5" s="2" t="s">
        <v>377</v>
      </c>
    </row>
    <row r="6" spans="1:6" x14ac:dyDescent="0.3">
      <c r="A6" s="2" t="s">
        <v>378</v>
      </c>
      <c r="B6" s="2" t="s">
        <v>375</v>
      </c>
      <c r="C6" s="2" t="s">
        <v>379</v>
      </c>
      <c r="D6" s="2" t="s">
        <v>380</v>
      </c>
      <c r="E6" s="9">
        <v>0</v>
      </c>
      <c r="F6" s="2" t="s">
        <v>381</v>
      </c>
    </row>
    <row r="7" spans="1:6" x14ac:dyDescent="0.3">
      <c r="A7" s="2" t="s">
        <v>382</v>
      </c>
      <c r="B7" s="2" t="s">
        <v>383</v>
      </c>
      <c r="C7" s="2" t="s">
        <v>384</v>
      </c>
      <c r="D7" s="2" t="s">
        <v>385</v>
      </c>
      <c r="E7" s="9">
        <v>0</v>
      </c>
      <c r="F7" s="2" t="s">
        <v>386</v>
      </c>
    </row>
    <row r="8" spans="1:6" x14ac:dyDescent="0.3">
      <c r="A8" s="2" t="s">
        <v>387</v>
      </c>
      <c r="B8" s="2" t="s">
        <v>388</v>
      </c>
      <c r="C8" s="2" t="s">
        <v>389</v>
      </c>
      <c r="D8" s="2" t="s">
        <v>390</v>
      </c>
      <c r="E8" s="2" t="s">
        <v>391</v>
      </c>
      <c r="F8" s="2" t="s">
        <v>392</v>
      </c>
    </row>
    <row r="9" spans="1:6" x14ac:dyDescent="0.3">
      <c r="A9" s="2" t="s">
        <v>393</v>
      </c>
      <c r="B9" s="2" t="s">
        <v>394</v>
      </c>
      <c r="C9" s="2" t="s">
        <v>395</v>
      </c>
      <c r="D9" s="2" t="s">
        <v>390</v>
      </c>
      <c r="E9" s="2" t="s">
        <v>396</v>
      </c>
      <c r="F9" s="2" t="s">
        <v>397</v>
      </c>
    </row>
    <row r="10" spans="1:6" x14ac:dyDescent="0.3">
      <c r="A10" s="2" t="s">
        <v>304</v>
      </c>
      <c r="B10" s="2" t="s">
        <v>398</v>
      </c>
      <c r="C10" s="2" t="s">
        <v>399</v>
      </c>
      <c r="D10" s="2" t="s">
        <v>400</v>
      </c>
      <c r="E10" s="9">
        <v>1</v>
      </c>
      <c r="F10" s="2" t="s">
        <v>401</v>
      </c>
    </row>
    <row r="11" spans="1:6" x14ac:dyDescent="0.3">
      <c r="A11" s="2"/>
      <c r="B11" s="2"/>
      <c r="C11" s="2"/>
      <c r="D11" s="2"/>
      <c r="E11" s="2"/>
      <c r="F11" s="2"/>
    </row>
    <row r="12" spans="1:6" x14ac:dyDescent="0.3">
      <c r="A12" s="3" t="s">
        <v>402</v>
      </c>
      <c r="B12" s="2"/>
      <c r="C12" s="2"/>
      <c r="D12" s="2"/>
      <c r="E12" s="2"/>
      <c r="F12" s="2"/>
    </row>
    <row r="13" spans="1:6" x14ac:dyDescent="0.3">
      <c r="A13" s="4" t="s">
        <v>403</v>
      </c>
      <c r="B13" s="4" t="s">
        <v>404</v>
      </c>
      <c r="C13" s="4" t="s">
        <v>405</v>
      </c>
      <c r="D13" s="2"/>
      <c r="E13" s="2"/>
      <c r="F13" s="2"/>
    </row>
    <row r="14" spans="1:6" x14ac:dyDescent="0.3">
      <c r="A14" s="2" t="s">
        <v>406</v>
      </c>
      <c r="B14" s="2" t="s">
        <v>407</v>
      </c>
      <c r="C14" s="2" t="s">
        <v>408</v>
      </c>
      <c r="D14" s="2"/>
      <c r="E14" s="2"/>
      <c r="F14" s="2"/>
    </row>
    <row r="15" spans="1:6" x14ac:dyDescent="0.3">
      <c r="A15" s="2" t="s">
        <v>409</v>
      </c>
      <c r="B15" s="2" t="s">
        <v>410</v>
      </c>
      <c r="C15" s="2" t="s">
        <v>411</v>
      </c>
      <c r="D15" s="2"/>
      <c r="E15" s="2"/>
      <c r="F15" s="2"/>
    </row>
    <row r="16" spans="1:6" x14ac:dyDescent="0.3">
      <c r="A16" s="2" t="s">
        <v>412</v>
      </c>
      <c r="B16" s="2" t="s">
        <v>413</v>
      </c>
      <c r="C16" s="2" t="s">
        <v>414</v>
      </c>
      <c r="D16" s="2"/>
      <c r="E16" s="2"/>
      <c r="F16" s="2"/>
    </row>
    <row r="17" spans="1:6" x14ac:dyDescent="0.3">
      <c r="A17" s="2"/>
      <c r="B17" s="2"/>
      <c r="C17" s="2"/>
      <c r="D17" s="2"/>
      <c r="E17" s="2"/>
      <c r="F17" s="2"/>
    </row>
    <row r="18" spans="1:6" x14ac:dyDescent="0.3">
      <c r="A18" s="3" t="s">
        <v>415</v>
      </c>
      <c r="B18" s="2"/>
      <c r="C18" s="2"/>
      <c r="D18" s="2"/>
      <c r="E18" s="2"/>
      <c r="F18" s="2"/>
    </row>
    <row r="19" spans="1:6" x14ac:dyDescent="0.3">
      <c r="A19" s="4" t="s">
        <v>416</v>
      </c>
      <c r="B19" s="4" t="s">
        <v>417</v>
      </c>
      <c r="C19" s="4" t="s">
        <v>418</v>
      </c>
      <c r="D19" s="2"/>
      <c r="E19" s="2"/>
      <c r="F19" s="2"/>
    </row>
    <row r="20" spans="1:6" x14ac:dyDescent="0.3">
      <c r="A20" s="2" t="s">
        <v>419</v>
      </c>
      <c r="B20" s="5">
        <f>Calculos_Massa!B23*0.7</f>
        <v>732.74108984999998</v>
      </c>
      <c r="C20" s="5">
        <f>Calculos_Massa!B27*0.7</f>
        <v>523.05958051217988</v>
      </c>
      <c r="D20" s="2"/>
      <c r="E20" s="2"/>
      <c r="F20" s="2"/>
    </row>
    <row r="21" spans="1:6" x14ac:dyDescent="0.3">
      <c r="A21" s="2" t="s">
        <v>420</v>
      </c>
      <c r="B21" s="5">
        <f>Calculos_Massa!B23*0.3</f>
        <v>314.03189564999997</v>
      </c>
      <c r="C21" s="5">
        <f>Calculos_Massa!B27*0.3</f>
        <v>224.16839164807709</v>
      </c>
      <c r="D21" s="2"/>
      <c r="E21" s="2"/>
      <c r="F21" s="2"/>
    </row>
    <row r="22" spans="1:6" x14ac:dyDescent="0.3">
      <c r="A22" s="6" t="s">
        <v>304</v>
      </c>
      <c r="B22" s="7">
        <f>B20+B21</f>
        <v>1046.7729855</v>
      </c>
      <c r="C22" s="7">
        <f>C20+C21</f>
        <v>747.22797216025697</v>
      </c>
      <c r="D22" s="2"/>
      <c r="E22" s="2"/>
      <c r="F22" s="2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B9EF2-6910-4086-B7E4-54DA8ECDDF09}">
  <dimension ref="A1:E14"/>
  <sheetViews>
    <sheetView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57.88671875" bestFit="1" customWidth="1"/>
    <col min="2" max="2" width="26.6640625" bestFit="1" customWidth="1"/>
    <col min="3" max="3" width="9.109375" bestFit="1" customWidth="1"/>
    <col min="4" max="4" width="11.109375" bestFit="1" customWidth="1"/>
    <col min="5" max="5" width="17.5546875" bestFit="1" customWidth="1"/>
  </cols>
  <sheetData>
    <row r="1" spans="1:5" ht="18" x14ac:dyDescent="0.35">
      <c r="A1" s="1" t="s">
        <v>421</v>
      </c>
      <c r="B1" s="2"/>
      <c r="C1" s="2"/>
      <c r="D1" s="2"/>
      <c r="E1" s="2"/>
    </row>
    <row r="2" spans="1:5" x14ac:dyDescent="0.3">
      <c r="A2" s="3" t="s">
        <v>422</v>
      </c>
      <c r="B2" s="2"/>
      <c r="C2" s="2"/>
      <c r="D2" s="2"/>
      <c r="E2" s="2"/>
    </row>
    <row r="3" spans="1:5" x14ac:dyDescent="0.3">
      <c r="A3" s="2"/>
      <c r="B3" s="2"/>
      <c r="C3" s="2"/>
      <c r="D3" s="2"/>
      <c r="E3" s="2"/>
    </row>
    <row r="4" spans="1:5" x14ac:dyDescent="0.3">
      <c r="A4" s="4" t="s">
        <v>423</v>
      </c>
      <c r="B4" s="4" t="s">
        <v>424</v>
      </c>
      <c r="C4" s="4" t="s">
        <v>425</v>
      </c>
      <c r="D4" s="4" t="s">
        <v>5</v>
      </c>
      <c r="E4" s="4" t="s">
        <v>426</v>
      </c>
    </row>
    <row r="5" spans="1:5" x14ac:dyDescent="0.3">
      <c r="A5" s="2" t="s">
        <v>427</v>
      </c>
      <c r="B5" s="2" t="s">
        <v>428</v>
      </c>
      <c r="C5" s="10">
        <f>Calculos_Massa!B11-Calculos_Massa!B32-Calculos_Massa!B38</f>
        <v>0</v>
      </c>
      <c r="D5" s="2" t="s">
        <v>218</v>
      </c>
      <c r="E5" s="2" t="str">
        <f>IF(ABS(C5)&lt;1,"OK","REVISAR")</f>
        <v>OK</v>
      </c>
    </row>
    <row r="6" spans="1:5" x14ac:dyDescent="0.3">
      <c r="A6" s="2" t="s">
        <v>429</v>
      </c>
      <c r="B6" s="2" t="s">
        <v>430</v>
      </c>
      <c r="C6" s="10">
        <f>Calculos_Massa!B36+Calculos_Massa!B35-Calculos_Massa!B37</f>
        <v>0</v>
      </c>
      <c r="D6" s="2" t="s">
        <v>218</v>
      </c>
      <c r="E6" s="2" t="str">
        <f>IF(ABS(C6)&lt;0.01,"OK","REVISAR")</f>
        <v>OK</v>
      </c>
    </row>
    <row r="7" spans="1:5" x14ac:dyDescent="0.3">
      <c r="A7" s="2" t="s">
        <v>431</v>
      </c>
      <c r="B7" s="2" t="s">
        <v>432</v>
      </c>
      <c r="C7" s="10">
        <f>Calculos_Massa!B20</f>
        <v>24.633663119595283</v>
      </c>
      <c r="D7" s="2" t="s">
        <v>15</v>
      </c>
      <c r="E7" s="2" t="str">
        <f>IF(AND(C7&gt;=20,C7&lt;=30),"OK","FORA DA FAIXA")</f>
        <v>OK</v>
      </c>
    </row>
    <row r="8" spans="1:5" x14ac:dyDescent="0.3">
      <c r="A8" s="2" t="s">
        <v>433</v>
      </c>
      <c r="B8" s="2" t="s">
        <v>434</v>
      </c>
      <c r="C8" s="10">
        <f>Calculos_Massa!B34</f>
        <v>2.5580962500000002</v>
      </c>
      <c r="D8" s="2" t="s">
        <v>274</v>
      </c>
      <c r="E8" s="2" t="str">
        <f>IF(AND(C8&gt;=1,C8&lt;=4),"OK","FORA DA FAIXA")</f>
        <v>OK</v>
      </c>
    </row>
    <row r="9" spans="1:5" x14ac:dyDescent="0.3">
      <c r="A9" s="2" t="s">
        <v>435</v>
      </c>
      <c r="B9" s="2" t="s">
        <v>436</v>
      </c>
      <c r="C9" s="10">
        <f>Balanco_Energia!B12-Balanco_Energia!B8</f>
        <v>12059.335659978002</v>
      </c>
      <c r="D9" s="2" t="s">
        <v>340</v>
      </c>
      <c r="E9" s="2" t="str">
        <f>IF(C9&gt;=0,"OK - autossuficiente","DEFICIT TERMICO")</f>
        <v>OK - autossuficiente</v>
      </c>
    </row>
    <row r="10" spans="1:5" x14ac:dyDescent="0.3">
      <c r="A10" s="2" t="s">
        <v>437</v>
      </c>
      <c r="B10" s="2" t="s">
        <v>438</v>
      </c>
      <c r="C10" s="10">
        <f>Premissas!C41+Premissas!C42+Premissas!C43</f>
        <v>100</v>
      </c>
      <c r="D10" s="2" t="s">
        <v>141</v>
      </c>
      <c r="E10" s="2" t="str">
        <f>IF(ABS(C10-100)&lt;0.01,"OK","REVISAR")</f>
        <v>OK</v>
      </c>
    </row>
    <row r="11" spans="1:5" x14ac:dyDescent="0.3">
      <c r="A11" s="2" t="s">
        <v>439</v>
      </c>
      <c r="B11" s="2" t="s">
        <v>440</v>
      </c>
      <c r="C11" s="10">
        <f>Premissas!C21+Premissas!C22+Premissas!C23+Premissas!C24+Premissas!C25</f>
        <v>100</v>
      </c>
      <c r="D11" s="2" t="s">
        <v>441</v>
      </c>
      <c r="E11" s="2" t="str">
        <f>IF(ABS(C11-100)&lt;0.1,"OK","REVISAR")</f>
        <v>OK</v>
      </c>
    </row>
    <row r="12" spans="1:5" x14ac:dyDescent="0.3">
      <c r="A12" s="2" t="s">
        <v>442</v>
      </c>
      <c r="B12" s="2" t="s">
        <v>440</v>
      </c>
      <c r="C12" s="10">
        <f>Premissas!C26+Premissas!C27+Premissas!C28+Premissas!C29+Premissas!C30</f>
        <v>100</v>
      </c>
      <c r="D12" s="2" t="s">
        <v>441</v>
      </c>
      <c r="E12" s="2" t="str">
        <f>IF(ABS(C12-100)&lt;0.1,"OK","REVISAR")</f>
        <v>OK</v>
      </c>
    </row>
    <row r="13" spans="1:5" x14ac:dyDescent="0.3">
      <c r="A13" s="2" t="s">
        <v>443</v>
      </c>
      <c r="B13" s="2" t="s">
        <v>444</v>
      </c>
      <c r="C13" s="10">
        <f>Premissas!C31+Premissas!C32+Premissas!C33+Premissas!C34+Premissas!C35</f>
        <v>100.00000000000001</v>
      </c>
      <c r="D13" s="2" t="s">
        <v>441</v>
      </c>
      <c r="E13" s="2" t="str">
        <f>IF(C13&gt;=95,"OK","REVISAR")</f>
        <v>OK</v>
      </c>
    </row>
    <row r="14" spans="1:5" x14ac:dyDescent="0.3">
      <c r="A14" s="2" t="s">
        <v>445</v>
      </c>
      <c r="B14" s="2" t="s">
        <v>446</v>
      </c>
      <c r="C14" s="10">
        <f>Premissas!C6+Premissas!C7+Premissas!C8</f>
        <v>1</v>
      </c>
      <c r="D14" s="2" t="s">
        <v>15</v>
      </c>
      <c r="E14" s="2" t="str">
        <f>IF(ABS(C14-1)&lt;0.001,"OK","REVISAR")</f>
        <v>OK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2455-A097-4813-95D8-DF41A1B29C85}">
  <dimension ref="A1:F28"/>
  <sheetViews>
    <sheetView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46.44140625" bestFit="1" customWidth="1"/>
    <col min="2" max="2" width="23.5546875" bestFit="1" customWidth="1"/>
    <col min="3" max="3" width="35.109375" bestFit="1" customWidth="1"/>
    <col min="4" max="4" width="12.77734375" bestFit="1" customWidth="1"/>
    <col min="5" max="5" width="19" bestFit="1" customWidth="1"/>
    <col min="6" max="6" width="28.6640625" bestFit="1" customWidth="1"/>
  </cols>
  <sheetData>
    <row r="1" spans="1:6" ht="18" x14ac:dyDescent="0.35">
      <c r="A1" s="1" t="s">
        <v>447</v>
      </c>
      <c r="B1" s="2"/>
      <c r="C1" s="2"/>
      <c r="D1" s="2"/>
      <c r="E1" s="2"/>
      <c r="F1" s="2"/>
    </row>
    <row r="2" spans="1:6" x14ac:dyDescent="0.3">
      <c r="A2" s="3" t="s">
        <v>448</v>
      </c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4" t="s">
        <v>449</v>
      </c>
      <c r="B4" s="4" t="s">
        <v>450</v>
      </c>
      <c r="C4" s="4" t="s">
        <v>451</v>
      </c>
      <c r="D4" s="4" t="s">
        <v>5</v>
      </c>
      <c r="E4" s="4" t="s">
        <v>452</v>
      </c>
      <c r="F4" s="4" t="s">
        <v>453</v>
      </c>
    </row>
    <row r="5" spans="1:6" x14ac:dyDescent="0.3">
      <c r="A5" s="2" t="s">
        <v>454</v>
      </c>
      <c r="B5" s="2" t="s">
        <v>455</v>
      </c>
      <c r="C5" s="2" t="s">
        <v>456</v>
      </c>
      <c r="D5" s="2" t="s">
        <v>457</v>
      </c>
      <c r="E5" s="2" t="s">
        <v>458</v>
      </c>
      <c r="F5" s="2" t="s">
        <v>233</v>
      </c>
    </row>
    <row r="6" spans="1:6" x14ac:dyDescent="0.3">
      <c r="A6" s="2" t="s">
        <v>459</v>
      </c>
      <c r="B6" s="2" t="s">
        <v>460</v>
      </c>
      <c r="C6" s="2" t="s">
        <v>461</v>
      </c>
      <c r="D6" s="2" t="s">
        <v>462</v>
      </c>
      <c r="E6" s="2" t="s">
        <v>463</v>
      </c>
      <c r="F6" s="2" t="s">
        <v>464</v>
      </c>
    </row>
    <row r="7" spans="1:6" x14ac:dyDescent="0.3">
      <c r="A7" s="2" t="s">
        <v>465</v>
      </c>
      <c r="B7" s="2" t="s">
        <v>466</v>
      </c>
      <c r="C7" s="2" t="s">
        <v>467</v>
      </c>
      <c r="D7" s="2" t="s">
        <v>218</v>
      </c>
      <c r="E7" s="2" t="s">
        <v>468</v>
      </c>
      <c r="F7" s="2" t="s">
        <v>469</v>
      </c>
    </row>
    <row r="8" spans="1:6" x14ac:dyDescent="0.3">
      <c r="A8" s="2" t="s">
        <v>470</v>
      </c>
      <c r="B8" s="2" t="s">
        <v>471</v>
      </c>
      <c r="C8" s="2" t="s">
        <v>472</v>
      </c>
      <c r="D8" s="2" t="s">
        <v>15</v>
      </c>
      <c r="E8" s="2" t="s">
        <v>473</v>
      </c>
      <c r="F8" s="2" t="s">
        <v>474</v>
      </c>
    </row>
    <row r="9" spans="1:6" x14ac:dyDescent="0.3">
      <c r="A9" s="2" t="s">
        <v>127</v>
      </c>
      <c r="B9" s="2" t="s">
        <v>475</v>
      </c>
      <c r="C9" s="2" t="s">
        <v>476</v>
      </c>
      <c r="D9" s="2" t="s">
        <v>128</v>
      </c>
      <c r="E9" s="2" t="s">
        <v>477</v>
      </c>
      <c r="F9" s="2" t="s">
        <v>478</v>
      </c>
    </row>
    <row r="10" spans="1:6" x14ac:dyDescent="0.3">
      <c r="A10" s="2" t="s">
        <v>479</v>
      </c>
      <c r="B10" s="2" t="s">
        <v>480</v>
      </c>
      <c r="C10" s="2" t="s">
        <v>481</v>
      </c>
      <c r="D10" s="2" t="s">
        <v>274</v>
      </c>
      <c r="E10" s="2" t="s">
        <v>482</v>
      </c>
      <c r="F10" s="2" t="s">
        <v>483</v>
      </c>
    </row>
    <row r="11" spans="1:6" x14ac:dyDescent="0.3">
      <c r="A11" s="2" t="s">
        <v>484</v>
      </c>
      <c r="B11" s="2" t="s">
        <v>485</v>
      </c>
      <c r="C11" s="2" t="s">
        <v>486</v>
      </c>
      <c r="D11" s="2" t="s">
        <v>487</v>
      </c>
      <c r="E11" s="2" t="s">
        <v>16</v>
      </c>
      <c r="F11" s="2" t="s">
        <v>488</v>
      </c>
    </row>
    <row r="12" spans="1:6" x14ac:dyDescent="0.3">
      <c r="A12" s="2" t="s">
        <v>489</v>
      </c>
      <c r="B12" s="2" t="s">
        <v>490</v>
      </c>
      <c r="C12" s="2" t="s">
        <v>491</v>
      </c>
      <c r="D12" s="2" t="s">
        <v>492</v>
      </c>
      <c r="E12" s="2" t="s">
        <v>16</v>
      </c>
      <c r="F12" s="2" t="s">
        <v>493</v>
      </c>
    </row>
    <row r="13" spans="1:6" x14ac:dyDescent="0.3">
      <c r="A13" s="2" t="s">
        <v>494</v>
      </c>
      <c r="B13" s="2" t="s">
        <v>495</v>
      </c>
      <c r="C13" s="2" t="s">
        <v>496</v>
      </c>
      <c r="D13" s="2" t="s">
        <v>161</v>
      </c>
      <c r="E13" s="2" t="s">
        <v>191</v>
      </c>
      <c r="F13" s="2" t="s">
        <v>497</v>
      </c>
    </row>
    <row r="14" spans="1:6" x14ac:dyDescent="0.3">
      <c r="A14" s="2" t="s">
        <v>498</v>
      </c>
      <c r="B14" s="2" t="s">
        <v>499</v>
      </c>
      <c r="C14" s="2" t="s">
        <v>500</v>
      </c>
      <c r="D14" s="2" t="s">
        <v>15</v>
      </c>
      <c r="E14" s="2" t="s">
        <v>501</v>
      </c>
      <c r="F14" s="2" t="s">
        <v>502</v>
      </c>
    </row>
    <row r="15" spans="1:6" x14ac:dyDescent="0.3">
      <c r="A15" s="2" t="s">
        <v>503</v>
      </c>
      <c r="B15" s="2" t="s">
        <v>504</v>
      </c>
      <c r="C15" s="2" t="s">
        <v>505</v>
      </c>
      <c r="D15" s="2" t="s">
        <v>340</v>
      </c>
      <c r="E15" s="2" t="s">
        <v>506</v>
      </c>
      <c r="F15" s="2" t="s">
        <v>507</v>
      </c>
    </row>
    <row r="16" spans="1:6" x14ac:dyDescent="0.3">
      <c r="A16" s="2" t="s">
        <v>508</v>
      </c>
      <c r="B16" s="2" t="s">
        <v>509</v>
      </c>
      <c r="C16" s="2" t="s">
        <v>510</v>
      </c>
      <c r="D16" s="2" t="s">
        <v>340</v>
      </c>
      <c r="E16" s="2" t="s">
        <v>511</v>
      </c>
      <c r="F16" s="2" t="s">
        <v>512</v>
      </c>
    </row>
    <row r="17" spans="1:6" x14ac:dyDescent="0.3">
      <c r="A17" s="2" t="s">
        <v>513</v>
      </c>
      <c r="B17" s="2" t="s">
        <v>514</v>
      </c>
      <c r="C17" s="2" t="s">
        <v>515</v>
      </c>
      <c r="D17" s="2" t="s">
        <v>340</v>
      </c>
      <c r="E17" s="2" t="s">
        <v>516</v>
      </c>
      <c r="F17" s="2" t="s">
        <v>517</v>
      </c>
    </row>
    <row r="18" spans="1:6" x14ac:dyDescent="0.3">
      <c r="A18" s="2" t="s">
        <v>518</v>
      </c>
      <c r="B18" s="2" t="s">
        <v>519</v>
      </c>
      <c r="C18" s="2" t="s">
        <v>520</v>
      </c>
      <c r="D18" s="2" t="s">
        <v>340</v>
      </c>
      <c r="E18" s="2" t="s">
        <v>521</v>
      </c>
      <c r="F18" s="2" t="s">
        <v>522</v>
      </c>
    </row>
    <row r="19" spans="1:6" x14ac:dyDescent="0.3">
      <c r="A19" s="2" t="s">
        <v>523</v>
      </c>
      <c r="B19" s="2" t="s">
        <v>524</v>
      </c>
      <c r="C19" s="2" t="s">
        <v>525</v>
      </c>
      <c r="D19" s="2" t="s">
        <v>340</v>
      </c>
      <c r="E19" s="2" t="s">
        <v>526</v>
      </c>
      <c r="F19" s="2" t="s">
        <v>527</v>
      </c>
    </row>
    <row r="20" spans="1:6" x14ac:dyDescent="0.3">
      <c r="A20" s="2" t="s">
        <v>528</v>
      </c>
      <c r="B20" s="2" t="s">
        <v>529</v>
      </c>
      <c r="C20" s="2" t="s">
        <v>530</v>
      </c>
      <c r="D20" s="2" t="s">
        <v>353</v>
      </c>
      <c r="E20" s="2" t="s">
        <v>531</v>
      </c>
      <c r="F20" s="2" t="s">
        <v>532</v>
      </c>
    </row>
    <row r="21" spans="1:6" x14ac:dyDescent="0.3">
      <c r="A21" s="2" t="s">
        <v>533</v>
      </c>
      <c r="B21" s="2" t="s">
        <v>534</v>
      </c>
      <c r="C21" s="2" t="s">
        <v>535</v>
      </c>
      <c r="D21" s="2" t="s">
        <v>340</v>
      </c>
      <c r="E21" s="2" t="s">
        <v>536</v>
      </c>
      <c r="F21" s="2" t="s">
        <v>537</v>
      </c>
    </row>
    <row r="22" spans="1:6" x14ac:dyDescent="0.3">
      <c r="A22" s="2" t="s">
        <v>538</v>
      </c>
      <c r="B22" s="2" t="s">
        <v>539</v>
      </c>
      <c r="C22" s="2" t="s">
        <v>540</v>
      </c>
      <c r="D22" s="2" t="s">
        <v>340</v>
      </c>
      <c r="E22" s="2" t="s">
        <v>541</v>
      </c>
      <c r="F22" s="2" t="s">
        <v>542</v>
      </c>
    </row>
    <row r="23" spans="1:6" x14ac:dyDescent="0.3">
      <c r="A23" s="2" t="s">
        <v>543</v>
      </c>
      <c r="B23" s="2" t="s">
        <v>544</v>
      </c>
      <c r="C23" s="2" t="s">
        <v>545</v>
      </c>
      <c r="D23" s="2" t="s">
        <v>353</v>
      </c>
      <c r="E23" s="2" t="s">
        <v>546</v>
      </c>
      <c r="F23" s="2" t="s">
        <v>547</v>
      </c>
    </row>
    <row r="24" spans="1:6" x14ac:dyDescent="0.3">
      <c r="A24" s="2" t="s">
        <v>548</v>
      </c>
      <c r="B24" s="2" t="s">
        <v>549</v>
      </c>
      <c r="C24" s="2" t="s">
        <v>550</v>
      </c>
      <c r="D24" s="2" t="s">
        <v>353</v>
      </c>
      <c r="E24" s="2" t="s">
        <v>551</v>
      </c>
      <c r="F24" s="2" t="s">
        <v>552</v>
      </c>
    </row>
    <row r="25" spans="1:6" x14ac:dyDescent="0.3">
      <c r="A25" s="2" t="s">
        <v>553</v>
      </c>
      <c r="B25" s="2" t="s">
        <v>554</v>
      </c>
      <c r="C25" s="2" t="s">
        <v>555</v>
      </c>
      <c r="D25" s="2" t="s">
        <v>218</v>
      </c>
      <c r="E25" s="2" t="s">
        <v>556</v>
      </c>
      <c r="F25" s="2" t="s">
        <v>557</v>
      </c>
    </row>
    <row r="26" spans="1:6" x14ac:dyDescent="0.3">
      <c r="A26" s="2" t="s">
        <v>558</v>
      </c>
      <c r="B26" s="2" t="s">
        <v>559</v>
      </c>
      <c r="C26" s="2" t="s">
        <v>560</v>
      </c>
      <c r="D26" s="2" t="s">
        <v>218</v>
      </c>
      <c r="E26" s="2" t="s">
        <v>561</v>
      </c>
      <c r="F26" s="2" t="s">
        <v>562</v>
      </c>
    </row>
    <row r="27" spans="1:6" x14ac:dyDescent="0.3">
      <c r="A27" s="2" t="s">
        <v>563</v>
      </c>
      <c r="B27" s="2" t="s">
        <v>564</v>
      </c>
      <c r="C27" s="2" t="s">
        <v>565</v>
      </c>
      <c r="D27" s="2" t="s">
        <v>218</v>
      </c>
      <c r="E27" s="2" t="s">
        <v>566</v>
      </c>
      <c r="F27" s="2" t="s">
        <v>562</v>
      </c>
    </row>
    <row r="28" spans="1:6" x14ac:dyDescent="0.3">
      <c r="A28" s="2" t="s">
        <v>567</v>
      </c>
      <c r="B28" s="2" t="s">
        <v>568</v>
      </c>
      <c r="C28" s="2" t="s">
        <v>569</v>
      </c>
      <c r="D28" s="2" t="s">
        <v>218</v>
      </c>
      <c r="E28" s="2" t="s">
        <v>570</v>
      </c>
      <c r="F28" s="2" t="s">
        <v>562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5507-B46F-46A8-ADAE-A521CC0B8986}">
  <dimension ref="A1:D22"/>
  <sheetViews>
    <sheetView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66" bestFit="1" customWidth="1"/>
    <col min="2" max="2" width="38.6640625" bestFit="1" customWidth="1"/>
    <col min="3" max="3" width="71.33203125" bestFit="1" customWidth="1"/>
    <col min="4" max="4" width="35.44140625" bestFit="1" customWidth="1"/>
  </cols>
  <sheetData>
    <row r="1" spans="1:4" ht="18" x14ac:dyDescent="0.35">
      <c r="A1" s="1" t="s">
        <v>571</v>
      </c>
      <c r="B1" s="2"/>
      <c r="C1" s="2"/>
      <c r="D1" s="2"/>
    </row>
    <row r="2" spans="1:4" x14ac:dyDescent="0.3">
      <c r="A2" s="3" t="s">
        <v>572</v>
      </c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4" t="s">
        <v>573</v>
      </c>
      <c r="B4" s="4" t="s">
        <v>574</v>
      </c>
      <c r="C4" s="4" t="s">
        <v>575</v>
      </c>
      <c r="D4" s="4" t="s">
        <v>576</v>
      </c>
    </row>
    <row r="5" spans="1:4" x14ac:dyDescent="0.3">
      <c r="A5" s="2" t="s">
        <v>577</v>
      </c>
      <c r="B5" s="2" t="s">
        <v>578</v>
      </c>
      <c r="C5" s="2" t="s">
        <v>579</v>
      </c>
      <c r="D5" s="2" t="s">
        <v>580</v>
      </c>
    </row>
    <row r="6" spans="1:4" x14ac:dyDescent="0.3">
      <c r="A6" s="2" t="s">
        <v>581</v>
      </c>
      <c r="B6" s="2" t="s">
        <v>582</v>
      </c>
      <c r="C6" s="2" t="s">
        <v>583</v>
      </c>
      <c r="D6" s="2" t="s">
        <v>584</v>
      </c>
    </row>
    <row r="7" spans="1:4" x14ac:dyDescent="0.3">
      <c r="A7" s="2" t="s">
        <v>585</v>
      </c>
      <c r="B7" s="2" t="s">
        <v>586</v>
      </c>
      <c r="C7" s="2" t="s">
        <v>587</v>
      </c>
      <c r="D7" s="2" t="s">
        <v>588</v>
      </c>
    </row>
    <row r="8" spans="1:4" x14ac:dyDescent="0.3">
      <c r="A8" s="2" t="s">
        <v>589</v>
      </c>
      <c r="B8" s="2" t="s">
        <v>590</v>
      </c>
      <c r="C8" s="2" t="s">
        <v>591</v>
      </c>
      <c r="D8" s="2" t="s">
        <v>592</v>
      </c>
    </row>
    <row r="9" spans="1:4" x14ac:dyDescent="0.3">
      <c r="A9" s="2" t="s">
        <v>593</v>
      </c>
      <c r="B9" s="2" t="s">
        <v>594</v>
      </c>
      <c r="C9" s="2" t="s">
        <v>595</v>
      </c>
      <c r="D9" s="2" t="s">
        <v>596</v>
      </c>
    </row>
    <row r="10" spans="1:4" x14ac:dyDescent="0.3">
      <c r="A10" s="2" t="s">
        <v>597</v>
      </c>
      <c r="B10" s="2" t="s">
        <v>598</v>
      </c>
      <c r="C10" s="2" t="s">
        <v>599</v>
      </c>
      <c r="D10" s="2" t="s">
        <v>600</v>
      </c>
    </row>
    <row r="11" spans="1:4" x14ac:dyDescent="0.3">
      <c r="A11" s="2" t="s">
        <v>601</v>
      </c>
      <c r="B11" s="2" t="s">
        <v>602</v>
      </c>
      <c r="C11" s="2" t="s">
        <v>603</v>
      </c>
      <c r="D11" s="2" t="s">
        <v>604</v>
      </c>
    </row>
    <row r="12" spans="1:4" x14ac:dyDescent="0.3">
      <c r="A12" s="2" t="s">
        <v>605</v>
      </c>
      <c r="B12" s="2" t="s">
        <v>606</v>
      </c>
      <c r="C12" s="2" t="s">
        <v>607</v>
      </c>
      <c r="D12" s="2" t="s">
        <v>608</v>
      </c>
    </row>
    <row r="13" spans="1:4" x14ac:dyDescent="0.3">
      <c r="A13" s="2" t="s">
        <v>609</v>
      </c>
      <c r="B13" s="2" t="s">
        <v>610</v>
      </c>
      <c r="C13" s="2" t="s">
        <v>611</v>
      </c>
      <c r="D13" s="2" t="s">
        <v>612</v>
      </c>
    </row>
    <row r="14" spans="1:4" x14ac:dyDescent="0.3">
      <c r="A14" s="2" t="s">
        <v>435</v>
      </c>
      <c r="B14" s="2" t="s">
        <v>613</v>
      </c>
      <c r="C14" s="2" t="s">
        <v>614</v>
      </c>
      <c r="D14" s="2" t="s">
        <v>615</v>
      </c>
    </row>
    <row r="15" spans="1:4" x14ac:dyDescent="0.3">
      <c r="A15" s="2" t="s">
        <v>616</v>
      </c>
      <c r="B15" s="2" t="s">
        <v>617</v>
      </c>
      <c r="C15" s="2" t="s">
        <v>618</v>
      </c>
      <c r="D15" s="2" t="s">
        <v>619</v>
      </c>
    </row>
    <row r="16" spans="1:4" x14ac:dyDescent="0.3">
      <c r="A16" s="2" t="s">
        <v>553</v>
      </c>
      <c r="B16" s="2" t="s">
        <v>620</v>
      </c>
      <c r="C16" s="2" t="s">
        <v>621</v>
      </c>
      <c r="D16" s="2" t="s">
        <v>622</v>
      </c>
    </row>
    <row r="17" spans="1:4" x14ac:dyDescent="0.3">
      <c r="A17" s="2" t="s">
        <v>318</v>
      </c>
      <c r="B17" s="2" t="s">
        <v>623</v>
      </c>
      <c r="C17" s="2" t="s">
        <v>624</v>
      </c>
      <c r="D17" s="2" t="s">
        <v>625</v>
      </c>
    </row>
    <row r="18" spans="1:4" x14ac:dyDescent="0.3">
      <c r="A18" s="2" t="s">
        <v>316</v>
      </c>
      <c r="B18" s="2" t="s">
        <v>626</v>
      </c>
      <c r="C18" s="2" t="s">
        <v>627</v>
      </c>
      <c r="D18" s="2" t="s">
        <v>628</v>
      </c>
    </row>
    <row r="19" spans="1:4" x14ac:dyDescent="0.3">
      <c r="A19" s="2" t="s">
        <v>320</v>
      </c>
      <c r="B19" s="2" t="s">
        <v>629</v>
      </c>
      <c r="C19" s="2" t="s">
        <v>630</v>
      </c>
      <c r="D19" s="2" t="s">
        <v>631</v>
      </c>
    </row>
    <row r="20" spans="1:4" x14ac:dyDescent="0.3">
      <c r="A20" s="2" t="s">
        <v>632</v>
      </c>
      <c r="B20" s="2" t="s">
        <v>633</v>
      </c>
      <c r="C20" s="2" t="s">
        <v>634</v>
      </c>
      <c r="D20" s="2" t="s">
        <v>635</v>
      </c>
    </row>
    <row r="21" spans="1:4" x14ac:dyDescent="0.3">
      <c r="A21" s="2" t="s">
        <v>514</v>
      </c>
      <c r="B21" s="2" t="s">
        <v>515</v>
      </c>
      <c r="C21" s="2" t="s">
        <v>636</v>
      </c>
      <c r="D21" s="2" t="s">
        <v>637</v>
      </c>
    </row>
    <row r="22" spans="1:4" x14ac:dyDescent="0.3">
      <c r="A22" s="2" t="s">
        <v>638</v>
      </c>
      <c r="B22" s="2" t="s">
        <v>639</v>
      </c>
      <c r="C22" s="2" t="s">
        <v>640</v>
      </c>
      <c r="D22" s="2" t="s">
        <v>641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62AC4-925F-464C-90A1-9DBB106D5F1A}">
  <dimension ref="A1:E9"/>
  <sheetViews>
    <sheetView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32.77734375" bestFit="1" customWidth="1"/>
    <col min="2" max="2" width="10.88671875" bestFit="1" customWidth="1"/>
    <col min="3" max="3" width="8.109375" bestFit="1" customWidth="1"/>
    <col min="4" max="4" width="13.21875" bestFit="1" customWidth="1"/>
    <col min="5" max="5" width="31.109375" bestFit="1" customWidth="1"/>
  </cols>
  <sheetData>
    <row r="1" spans="1:5" ht="18" x14ac:dyDescent="0.35">
      <c r="A1" s="1" t="s">
        <v>642</v>
      </c>
      <c r="B1" s="2"/>
      <c r="C1" s="2"/>
      <c r="D1" s="2"/>
      <c r="E1" s="2"/>
    </row>
    <row r="2" spans="1:5" x14ac:dyDescent="0.3">
      <c r="A2" s="3" t="s">
        <v>643</v>
      </c>
      <c r="B2" s="2"/>
      <c r="C2" s="2"/>
      <c r="D2" s="2"/>
      <c r="E2" s="2"/>
    </row>
    <row r="3" spans="1:5" x14ac:dyDescent="0.3">
      <c r="A3" s="2"/>
      <c r="B3" s="2"/>
      <c r="C3" s="2"/>
      <c r="D3" s="2"/>
      <c r="E3" s="2"/>
    </row>
    <row r="4" spans="1:5" x14ac:dyDescent="0.3">
      <c r="A4" s="4" t="s">
        <v>644</v>
      </c>
      <c r="B4" s="4" t="s">
        <v>645</v>
      </c>
      <c r="C4" s="4" t="s">
        <v>5</v>
      </c>
      <c r="D4" s="4" t="s">
        <v>646</v>
      </c>
      <c r="E4" s="4" t="s">
        <v>293</v>
      </c>
    </row>
    <row r="5" spans="1:5" x14ac:dyDescent="0.3">
      <c r="A5" s="2" t="s">
        <v>647</v>
      </c>
      <c r="B5" s="5">
        <f>Balanco_Energia!B5</f>
        <v>6136.2</v>
      </c>
      <c r="C5" s="5" t="s">
        <v>340</v>
      </c>
      <c r="D5" s="5">
        <f>0</f>
        <v>0</v>
      </c>
      <c r="E5" s="2" t="s">
        <v>648</v>
      </c>
    </row>
    <row r="6" spans="1:5" x14ac:dyDescent="0.3">
      <c r="A6" s="2" t="s">
        <v>649</v>
      </c>
      <c r="B6" s="5">
        <f>Balanco_Energia!B6</f>
        <v>920.43</v>
      </c>
      <c r="C6" s="5" t="s">
        <v>340</v>
      </c>
      <c r="D6" s="5">
        <f>0</f>
        <v>0</v>
      </c>
      <c r="E6" s="2" t="s">
        <v>650</v>
      </c>
    </row>
    <row r="7" spans="1:5" x14ac:dyDescent="0.3">
      <c r="A7" s="2" t="s">
        <v>651</v>
      </c>
      <c r="B7" s="5">
        <f>Balanco_Energia!B7</f>
        <v>3376.6870500000005</v>
      </c>
      <c r="C7" s="5" t="s">
        <v>340</v>
      </c>
      <c r="D7" s="5">
        <f>0</f>
        <v>0</v>
      </c>
      <c r="E7" s="2" t="s">
        <v>652</v>
      </c>
    </row>
    <row r="8" spans="1:5" x14ac:dyDescent="0.3">
      <c r="A8" s="2" t="s">
        <v>653</v>
      </c>
      <c r="B8" s="5">
        <f>Balanco_Energia!B14</f>
        <v>197.78194020474999</v>
      </c>
      <c r="C8" s="5" t="s">
        <v>353</v>
      </c>
      <c r="D8" s="5">
        <f>B8*Premissas!C51</f>
        <v>148.3364551535625</v>
      </c>
      <c r="E8" s="2" t="s">
        <v>654</v>
      </c>
    </row>
    <row r="9" spans="1:5" x14ac:dyDescent="0.3">
      <c r="A9" s="2" t="s">
        <v>655</v>
      </c>
      <c r="B9" s="5">
        <f>Balanco_Energia!B15</f>
        <v>3757.8568638902498</v>
      </c>
      <c r="C9" s="5" t="s">
        <v>353</v>
      </c>
      <c r="D9" s="5">
        <f>-B9*Premissas!C51</f>
        <v>-2818.3926479176871</v>
      </c>
      <c r="E9" s="2" t="s">
        <v>656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0E72-5289-495A-9669-6C5D415054BF}">
  <dimension ref="A1:F11"/>
  <sheetViews>
    <sheetView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46.6640625" bestFit="1" customWidth="1"/>
    <col min="2" max="2" width="10.88671875" bestFit="1" customWidth="1"/>
    <col min="3" max="3" width="8.77734375" bestFit="1" customWidth="1"/>
    <col min="4" max="4" width="10.109375" bestFit="1" customWidth="1"/>
    <col min="5" max="5" width="15.5546875" bestFit="1" customWidth="1"/>
    <col min="6" max="6" width="32.5546875" bestFit="1" customWidth="1"/>
  </cols>
  <sheetData>
    <row r="1" spans="1:6" ht="18" x14ac:dyDescent="0.35">
      <c r="A1" s="1" t="s">
        <v>657</v>
      </c>
      <c r="B1" s="2"/>
      <c r="C1" s="2"/>
      <c r="D1" s="2"/>
      <c r="E1" s="2"/>
      <c r="F1" s="2"/>
    </row>
    <row r="2" spans="1:6" x14ac:dyDescent="0.3">
      <c r="A2" s="3" t="s">
        <v>658</v>
      </c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4" t="s">
        <v>659</v>
      </c>
      <c r="B4" s="4" t="s">
        <v>645</v>
      </c>
      <c r="C4" s="4" t="s">
        <v>5</v>
      </c>
      <c r="D4" s="4" t="s">
        <v>660</v>
      </c>
      <c r="E4" s="4" t="s">
        <v>661</v>
      </c>
      <c r="F4" s="4" t="s">
        <v>293</v>
      </c>
    </row>
    <row r="5" spans="1:6" x14ac:dyDescent="0.3">
      <c r="A5" s="2" t="s">
        <v>662</v>
      </c>
      <c r="B5" s="5">
        <f>Calculos_Massa!B37</f>
        <v>3685.6841249999998</v>
      </c>
      <c r="C5" s="5" t="s">
        <v>663</v>
      </c>
      <c r="D5" s="5">
        <f>Premissas!C52</f>
        <v>0.3</v>
      </c>
      <c r="E5" s="5">
        <f>B5*D5</f>
        <v>1105.7052374999998</v>
      </c>
      <c r="F5" s="2" t="s">
        <v>664</v>
      </c>
    </row>
    <row r="6" spans="1:6" x14ac:dyDescent="0.3">
      <c r="A6" s="2" t="s">
        <v>665</v>
      </c>
      <c r="B6" s="5">
        <f>Balanco_Energia!B14</f>
        <v>197.78194020474999</v>
      </c>
      <c r="C6" s="5" t="s">
        <v>353</v>
      </c>
      <c r="D6" s="5">
        <f>Premissas!C51</f>
        <v>0.75</v>
      </c>
      <c r="E6" s="5">
        <f>B6*D6</f>
        <v>148.3364551535625</v>
      </c>
      <c r="F6" s="2" t="s">
        <v>666</v>
      </c>
    </row>
    <row r="7" spans="1:6" x14ac:dyDescent="0.3">
      <c r="A7" s="2" t="s">
        <v>667</v>
      </c>
      <c r="B7" s="5">
        <f>Balanco_Energia!B15</f>
        <v>3757.8568638902498</v>
      </c>
      <c r="C7" s="5" t="s">
        <v>353</v>
      </c>
      <c r="D7" s="5">
        <f>Premissas!C51</f>
        <v>0.75</v>
      </c>
      <c r="E7" s="5">
        <f>-B7*D7</f>
        <v>-2818.3926479176871</v>
      </c>
      <c r="F7" s="2" t="s">
        <v>668</v>
      </c>
    </row>
    <row r="8" spans="1:6" x14ac:dyDescent="0.3">
      <c r="A8" s="2" t="s">
        <v>669</v>
      </c>
      <c r="B8" s="5">
        <f>Calculos_Massa!B11*0.001</f>
        <v>102.27</v>
      </c>
      <c r="C8" s="5" t="s">
        <v>10</v>
      </c>
      <c r="D8" s="5">
        <f>2</f>
        <v>2</v>
      </c>
      <c r="E8" s="5">
        <f>B8*D8</f>
        <v>204.54</v>
      </c>
      <c r="F8" s="2" t="s">
        <v>670</v>
      </c>
    </row>
    <row r="9" spans="1:6" x14ac:dyDescent="0.3">
      <c r="A9" s="2" t="s">
        <v>671</v>
      </c>
      <c r="B9" s="5">
        <f>1</f>
        <v>1</v>
      </c>
      <c r="C9" s="5" t="s">
        <v>672</v>
      </c>
      <c r="D9" s="5">
        <f>500</f>
        <v>500</v>
      </c>
      <c r="E9" s="5">
        <f>B9*D9</f>
        <v>500</v>
      </c>
      <c r="F9" s="2" t="s">
        <v>673</v>
      </c>
    </row>
    <row r="10" spans="1:6" x14ac:dyDescent="0.3">
      <c r="A10" s="2"/>
      <c r="B10" s="2"/>
      <c r="C10" s="2"/>
      <c r="D10" s="2"/>
      <c r="E10" s="2"/>
      <c r="F10" s="2"/>
    </row>
    <row r="11" spans="1:6" x14ac:dyDescent="0.3">
      <c r="A11" s="6" t="s">
        <v>674</v>
      </c>
      <c r="B11" s="2"/>
      <c r="C11" s="2"/>
      <c r="D11" s="2"/>
      <c r="E11" s="11">
        <f>SUM(E5:E9)</f>
        <v>-859.81095526412491</v>
      </c>
      <c r="F11" s="2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C125-B303-4D11-9F16-77E0478087E2}">
  <dimension ref="A1:C30"/>
  <sheetViews>
    <sheetView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114.77734375" bestFit="1" customWidth="1"/>
    <col min="2" max="2" width="13.6640625" bestFit="1" customWidth="1"/>
    <col min="3" max="3" width="24" bestFit="1" customWidth="1"/>
  </cols>
  <sheetData>
    <row r="1" spans="1:3" ht="18" x14ac:dyDescent="0.35">
      <c r="A1" s="1" t="s">
        <v>675</v>
      </c>
      <c r="B1" s="2"/>
      <c r="C1" s="2"/>
    </row>
    <row r="2" spans="1:3" x14ac:dyDescent="0.3">
      <c r="A2" s="3" t="s">
        <v>676</v>
      </c>
      <c r="B2" s="2"/>
      <c r="C2" s="2"/>
    </row>
    <row r="3" spans="1:3" x14ac:dyDescent="0.3">
      <c r="A3" s="2"/>
      <c r="B3" s="2"/>
      <c r="C3" s="2"/>
    </row>
    <row r="4" spans="1:3" x14ac:dyDescent="0.3">
      <c r="A4" s="12" t="s">
        <v>677</v>
      </c>
      <c r="B4" s="2"/>
      <c r="C4" s="2"/>
    </row>
    <row r="5" spans="1:3" x14ac:dyDescent="0.3">
      <c r="A5" s="12" t="s">
        <v>678</v>
      </c>
      <c r="B5" s="2"/>
      <c r="C5" s="2"/>
    </row>
    <row r="6" spans="1:3" x14ac:dyDescent="0.3">
      <c r="A6" s="12" t="s">
        <v>679</v>
      </c>
      <c r="B6" s="2"/>
      <c r="C6" s="2"/>
    </row>
    <row r="7" spans="1:3" x14ac:dyDescent="0.3">
      <c r="A7" s="12" t="s">
        <v>680</v>
      </c>
      <c r="B7" s="2"/>
      <c r="C7" s="2"/>
    </row>
    <row r="8" spans="1:3" x14ac:dyDescent="0.3">
      <c r="A8" s="12" t="s">
        <v>681</v>
      </c>
      <c r="B8" s="2"/>
      <c r="C8" s="2"/>
    </row>
    <row r="9" spans="1:3" x14ac:dyDescent="0.3">
      <c r="A9" s="12" t="s">
        <v>682</v>
      </c>
      <c r="B9" s="2"/>
      <c r="C9" s="2"/>
    </row>
    <row r="10" spans="1:3" x14ac:dyDescent="0.3">
      <c r="A10" s="12" t="s">
        <v>683</v>
      </c>
      <c r="B10" s="2"/>
      <c r="C10" s="2"/>
    </row>
    <row r="11" spans="1:3" x14ac:dyDescent="0.3">
      <c r="A11" s="12" t="s">
        <v>684</v>
      </c>
      <c r="B11" s="2"/>
      <c r="C11" s="2"/>
    </row>
    <row r="12" spans="1:3" x14ac:dyDescent="0.3">
      <c r="A12" s="12" t="s">
        <v>685</v>
      </c>
      <c r="B12" s="2"/>
      <c r="C12" s="2"/>
    </row>
    <row r="13" spans="1:3" x14ac:dyDescent="0.3">
      <c r="A13" s="12" t="s">
        <v>686</v>
      </c>
      <c r="B13" s="2"/>
      <c r="C13" s="2"/>
    </row>
    <row r="14" spans="1:3" x14ac:dyDescent="0.3">
      <c r="A14" s="12" t="s">
        <v>687</v>
      </c>
      <c r="B14" s="2"/>
      <c r="C14" s="2"/>
    </row>
    <row r="15" spans="1:3" x14ac:dyDescent="0.3">
      <c r="A15" s="12" t="s">
        <v>688</v>
      </c>
      <c r="B15" s="2"/>
      <c r="C15" s="2"/>
    </row>
    <row r="16" spans="1:3" x14ac:dyDescent="0.3">
      <c r="A16" s="12" t="s">
        <v>689</v>
      </c>
      <c r="B16" s="2"/>
      <c r="C16" s="2"/>
    </row>
    <row r="17" spans="1:3" x14ac:dyDescent="0.3">
      <c r="A17" s="12" t="s">
        <v>690</v>
      </c>
      <c r="B17" s="2"/>
      <c r="C17" s="2"/>
    </row>
    <row r="18" spans="1:3" x14ac:dyDescent="0.3">
      <c r="A18" s="2"/>
      <c r="B18" s="2"/>
      <c r="C18" s="2"/>
    </row>
    <row r="19" spans="1:3" x14ac:dyDescent="0.3">
      <c r="A19" s="3" t="s">
        <v>691</v>
      </c>
      <c r="B19" s="2"/>
      <c r="C19" s="2"/>
    </row>
    <row r="20" spans="1:3" x14ac:dyDescent="0.3">
      <c r="A20" s="4" t="s">
        <v>310</v>
      </c>
      <c r="B20" s="4" t="s">
        <v>692</v>
      </c>
      <c r="C20" s="4" t="s">
        <v>311</v>
      </c>
    </row>
    <row r="21" spans="1:3" x14ac:dyDescent="0.3">
      <c r="A21" s="2">
        <f>Correntes_PFD!A5</f>
        <v>101</v>
      </c>
      <c r="B21" s="8">
        <f>Correntes_PFD!C5</f>
        <v>51000</v>
      </c>
      <c r="C21" s="2" t="str">
        <f>Correntes_PFD!B5</f>
        <v>Lodo de esgoto</v>
      </c>
    </row>
    <row r="22" spans="1:3" x14ac:dyDescent="0.3">
      <c r="A22" s="2">
        <f>Correntes_PFD!A6</f>
        <v>102</v>
      </c>
      <c r="B22" s="8">
        <f>Correntes_PFD!C6</f>
        <v>30270</v>
      </c>
      <c r="C22" s="2" t="str">
        <f>Correntes_PFD!B6</f>
        <v>Vinhaca</v>
      </c>
    </row>
    <row r="23" spans="1:3" x14ac:dyDescent="0.3">
      <c r="A23" s="2">
        <f>Correntes_PFD!A7</f>
        <v>103</v>
      </c>
      <c r="B23" s="8">
        <f>Correntes_PFD!C7</f>
        <v>21000</v>
      </c>
      <c r="C23" s="2" t="str">
        <f>Correntes_PFD!B7</f>
        <v>Residuo organico</v>
      </c>
    </row>
    <row r="24" spans="1:3" x14ac:dyDescent="0.3">
      <c r="A24" s="2">
        <f>Correntes_PFD!A8</f>
        <v>104</v>
      </c>
      <c r="B24" s="8">
        <f>Correntes_PFD!C8</f>
        <v>102270</v>
      </c>
      <c r="C24" s="2" t="str">
        <f>Correntes_PFD!B8</f>
        <v>Mistura alimentada</v>
      </c>
    </row>
    <row r="25" spans="1:3" x14ac:dyDescent="0.3">
      <c r="A25" s="2">
        <f>Correntes_PFD!A9</f>
        <v>105</v>
      </c>
      <c r="B25" s="8">
        <f>Correntes_PFD!C9</f>
        <v>1984.071047046489</v>
      </c>
      <c r="C25" s="2" t="str">
        <f>Correntes_PFD!B9</f>
        <v>Biogas bruto</v>
      </c>
    </row>
    <row r="26" spans="1:3" x14ac:dyDescent="0.3">
      <c r="A26" s="2">
        <f>Correntes_PFD!A10</f>
        <v>106</v>
      </c>
      <c r="B26" s="8">
        <f>Correntes_PFD!C10</f>
        <v>100285.92895295352</v>
      </c>
      <c r="C26" s="2" t="str">
        <f>Correntes_PFD!B10</f>
        <v>Digestato bruto</v>
      </c>
    </row>
    <row r="27" spans="1:3" x14ac:dyDescent="0.3">
      <c r="A27" s="2">
        <f>Correntes_PFD!A11</f>
        <v>107</v>
      </c>
      <c r="B27" s="8">
        <f>Correntes_PFD!C11</f>
        <v>747.22797216025697</v>
      </c>
      <c r="C27" s="2" t="str">
        <f>Correntes_PFD!B11</f>
        <v>CH4 no biogas</v>
      </c>
    </row>
    <row r="28" spans="1:3" x14ac:dyDescent="0.3">
      <c r="A28" s="2">
        <f>Correntes_PFD!A12</f>
        <v>108</v>
      </c>
      <c r="B28" s="8">
        <f>Correntes_PFD!C12</f>
        <v>1193.1543426429912</v>
      </c>
      <c r="C28" s="2" t="str">
        <f>Correntes_PFD!B12</f>
        <v>CO2 no biogas</v>
      </c>
    </row>
    <row r="29" spans="1:3" x14ac:dyDescent="0.3">
      <c r="A29" s="2">
        <f>Correntes_PFD!A13</f>
        <v>109</v>
      </c>
      <c r="B29" s="8">
        <f>Correntes_PFD!C13</f>
        <v>14742.736499999997</v>
      </c>
      <c r="C29" s="2" t="str">
        <f>Correntes_PFD!B13</f>
        <v>Digestato desaguado (torta)</v>
      </c>
    </row>
    <row r="30" spans="1:3" x14ac:dyDescent="0.3">
      <c r="A30" s="2">
        <f>Correntes_PFD!A14</f>
        <v>110</v>
      </c>
      <c r="B30" s="8">
        <f>Correntes_PFD!C14</f>
        <v>85543.192452953517</v>
      </c>
      <c r="C30" s="2" t="str">
        <f>Correntes_PFD!B14</f>
        <v>Agua separada do digestato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3E5B-6D1A-4730-8FE6-CAF38B72AC08}">
  <dimension ref="A1:D25"/>
  <sheetViews>
    <sheetView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58.33203125" bestFit="1" customWidth="1"/>
    <col min="2" max="2" width="23.109375" bestFit="1" customWidth="1"/>
    <col min="3" max="3" width="7.5546875" bestFit="1" customWidth="1"/>
    <col min="4" max="4" width="8.109375" bestFit="1" customWidth="1"/>
  </cols>
  <sheetData>
    <row r="1" spans="1:4" ht="18" x14ac:dyDescent="0.35">
      <c r="A1" s="1" t="s">
        <v>716</v>
      </c>
      <c r="B1" s="2"/>
      <c r="C1" s="2"/>
      <c r="D1" s="2"/>
    </row>
    <row r="2" spans="1:4" x14ac:dyDescent="0.3">
      <c r="A2" s="3" t="s">
        <v>717</v>
      </c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4" t="s">
        <v>718</v>
      </c>
      <c r="B4" s="4" t="s">
        <v>719</v>
      </c>
      <c r="C4" s="4" t="s">
        <v>4</v>
      </c>
      <c r="D4" s="4" t="s">
        <v>5</v>
      </c>
    </row>
    <row r="5" spans="1:4" x14ac:dyDescent="0.3">
      <c r="A5" s="2" t="s">
        <v>720</v>
      </c>
      <c r="B5" s="2" t="s">
        <v>721</v>
      </c>
      <c r="C5" s="5">
        <f>Premissas!C5</f>
        <v>100</v>
      </c>
      <c r="D5" s="2" t="s">
        <v>10</v>
      </c>
    </row>
    <row r="6" spans="1:4" x14ac:dyDescent="0.3">
      <c r="A6" s="2" t="s">
        <v>722</v>
      </c>
      <c r="B6" s="2" t="s">
        <v>723</v>
      </c>
      <c r="C6" s="5">
        <f>Calculos_Massa!B11</f>
        <v>102270</v>
      </c>
      <c r="D6" s="2" t="s">
        <v>218</v>
      </c>
    </row>
    <row r="7" spans="1:4" x14ac:dyDescent="0.3">
      <c r="A7" s="2" t="s">
        <v>724</v>
      </c>
      <c r="B7" s="2" t="s">
        <v>725</v>
      </c>
      <c r="C7" s="5">
        <f>Calculos_Massa!B19</f>
        <v>5116.1925000000001</v>
      </c>
      <c r="D7" s="2" t="s">
        <v>218</v>
      </c>
    </row>
    <row r="8" spans="1:4" x14ac:dyDescent="0.3">
      <c r="A8" s="2" t="s">
        <v>470</v>
      </c>
      <c r="B8" s="2" t="s">
        <v>726</v>
      </c>
      <c r="C8" s="5">
        <f>Calculos_Massa!B20</f>
        <v>24.633663119595283</v>
      </c>
      <c r="D8" s="2" t="s">
        <v>15</v>
      </c>
    </row>
    <row r="9" spans="1:4" x14ac:dyDescent="0.3">
      <c r="A9" s="2" t="s">
        <v>727</v>
      </c>
      <c r="B9" s="2" t="s">
        <v>728</v>
      </c>
      <c r="C9" s="5">
        <f>Fechamento_Elementar!B12</f>
        <v>12.979324938309635</v>
      </c>
      <c r="D9" s="2" t="s">
        <v>15</v>
      </c>
    </row>
    <row r="10" spans="1:4" x14ac:dyDescent="0.3">
      <c r="A10" s="2" t="s">
        <v>616</v>
      </c>
      <c r="B10" s="2" t="s">
        <v>729</v>
      </c>
      <c r="C10" s="5">
        <f>Calculos_Massa!B22</f>
        <v>1688.3435250000002</v>
      </c>
      <c r="D10" s="2" t="s">
        <v>247</v>
      </c>
    </row>
    <row r="11" spans="1:4" x14ac:dyDescent="0.3">
      <c r="A11" s="2" t="s">
        <v>730</v>
      </c>
      <c r="B11" s="2" t="s">
        <v>731</v>
      </c>
      <c r="C11" s="5">
        <f>Calculos_Massa!B23</f>
        <v>1046.7729855</v>
      </c>
      <c r="D11" s="2" t="s">
        <v>247</v>
      </c>
    </row>
    <row r="12" spans="1:4" x14ac:dyDescent="0.3">
      <c r="A12" s="2" t="s">
        <v>732</v>
      </c>
      <c r="B12" s="2" t="s">
        <v>348</v>
      </c>
      <c r="C12" s="5">
        <f>Balanco_Energia!B9</f>
        <v>37474.472880900001</v>
      </c>
      <c r="D12" s="2" t="s">
        <v>340</v>
      </c>
    </row>
    <row r="13" spans="1:4" x14ac:dyDescent="0.3">
      <c r="A13" s="2" t="s">
        <v>733</v>
      </c>
      <c r="B13" s="2" t="s">
        <v>363</v>
      </c>
      <c r="C13" s="5">
        <f>Balanco_Energia!B16</f>
        <v>156.5773693287604</v>
      </c>
      <c r="D13" s="2" t="s">
        <v>364</v>
      </c>
    </row>
    <row r="14" spans="1:4" x14ac:dyDescent="0.3">
      <c r="A14" s="2" t="s">
        <v>734</v>
      </c>
      <c r="B14" s="2" t="s">
        <v>549</v>
      </c>
      <c r="C14" s="5">
        <f>Balanco_Energia!B15</f>
        <v>3757.8568638902498</v>
      </c>
      <c r="D14" s="2" t="s">
        <v>353</v>
      </c>
    </row>
    <row r="15" spans="1:4" x14ac:dyDescent="0.3">
      <c r="A15" s="2" t="s">
        <v>735</v>
      </c>
      <c r="B15" s="2" t="s">
        <v>736</v>
      </c>
      <c r="C15" s="5">
        <f>Balanco_Energia!B13</f>
        <v>12059.335659978002</v>
      </c>
      <c r="D15" s="2" t="s">
        <v>340</v>
      </c>
    </row>
    <row r="16" spans="1:4" x14ac:dyDescent="0.3">
      <c r="A16" s="2" t="s">
        <v>553</v>
      </c>
      <c r="B16" s="2" t="s">
        <v>737</v>
      </c>
      <c r="C16" s="5">
        <f>Calculos_Massa!B38</f>
        <v>100285.92895295352</v>
      </c>
      <c r="D16" s="2" t="s">
        <v>218</v>
      </c>
    </row>
    <row r="17" spans="1:4" x14ac:dyDescent="0.3">
      <c r="A17" s="2" t="s">
        <v>738</v>
      </c>
      <c r="B17" s="2" t="s">
        <v>739</v>
      </c>
      <c r="C17" s="5">
        <f>Calculos_Massa!B33</f>
        <v>2000</v>
      </c>
      <c r="D17" s="2" t="s">
        <v>271</v>
      </c>
    </row>
    <row r="18" spans="1:4" x14ac:dyDescent="0.3">
      <c r="A18" s="2" t="s">
        <v>740</v>
      </c>
      <c r="B18" s="2" t="s">
        <v>741</v>
      </c>
      <c r="C18" s="5">
        <f>COUNTIF(Verificacoes!E5:E14,"OK")+COUNTIF(Verificacoes!E5:E14,"OK - autossuficiente")</f>
        <v>10</v>
      </c>
      <c r="D18" s="2" t="s">
        <v>742</v>
      </c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3" t="s">
        <v>743</v>
      </c>
      <c r="B21" s="2"/>
      <c r="C21" s="2"/>
      <c r="D21" s="2"/>
    </row>
    <row r="22" spans="1:4" ht="158.4" x14ac:dyDescent="0.3">
      <c r="A22" s="13" t="str">
        <f>"O digestor recebe "&amp;FIXED(Premissas!C5,0,TRUE)&amp;" m3/dia de mistura ("&amp;FIXED(Calculos_Massa!B11,0,TRUE)&amp;" kg/dia) com C/N de "&amp;FIXED(Calculos_Massa!B20,1,TRUE)&amp;"."</f>
        <v>O digestor recebe 100 m3/dia de mistura (102270 kg/dia) com C/N de 24,6.</v>
      </c>
      <c r="B22" s="2"/>
      <c r="C22" s="2"/>
      <c r="D22" s="2"/>
    </row>
    <row r="23" spans="1:4" ht="158.4" x14ac:dyDescent="0.3">
      <c r="A23" s="13" t="str">
        <f>"Produz "&amp;FIXED(Calculos_Massa!B22,0,TRUE)&amp;" Nm3/dia de biogas contendo "&amp;FIXED(Calculos_Massa!B23,0,TRUE)&amp;" Nm3/dia de metano ("&amp;FIXED(Premissas!C41,0,TRUE)&amp;"% CH4)."</f>
        <v>Produz 1688 Nm3/dia de biogas contendo 1047 Nm3/dia de metano (62% CH4).</v>
      </c>
      <c r="B23" s="2"/>
      <c r="C23" s="2"/>
      <c r="D23" s="2"/>
    </row>
    <row r="24" spans="1:4" ht="244.8" x14ac:dyDescent="0.3">
      <c r="A24" s="13" t="str">
        <f>"A cogeracao gera "&amp;FIXED(Balanco_Energia!B15,0,TRUE)&amp;" kWh/dia de eletricidade liquida ("&amp;FIXED(Balanco_Energia!B16,1,TRUE)&amp;" kW medio) e o sistema e termicamente autossuficiente."</f>
        <v>A cogeracao gera 3758 kWh/dia de eletricidade liquida (156,6 kW medio) e o sistema e termicamente autossuficiente.</v>
      </c>
      <c r="B24" s="2"/>
      <c r="C24" s="2"/>
      <c r="D24" s="2"/>
    </row>
    <row r="25" spans="1:4" ht="172.8" x14ac:dyDescent="0.3">
      <c r="A25" s="13" t="str">
        <f>"O fechamento elementar rastreia C/H/O/N/S desde a entrada ate biogas e digestato."</f>
        <v>O fechamento elementar rastreia C/H/O/N/S desde a entrada ate biogas e digestato.</v>
      </c>
      <c r="B25" s="2"/>
      <c r="C25" s="2"/>
      <c r="D25" s="2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FBA1F-2A48-4C4B-B279-505D25ABA3CA}">
  <dimension ref="A1:C17"/>
  <sheetViews>
    <sheetView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45.21875" bestFit="1" customWidth="1"/>
    <col min="2" max="2" width="7.5546875" bestFit="1" customWidth="1"/>
    <col min="3" max="3" width="11.109375" bestFit="1" customWidth="1"/>
  </cols>
  <sheetData>
    <row r="1" spans="1:3" ht="18" x14ac:dyDescent="0.35">
      <c r="A1" s="1" t="s">
        <v>744</v>
      </c>
      <c r="B1" s="2"/>
      <c r="C1" s="2"/>
    </row>
    <row r="2" spans="1:3" x14ac:dyDescent="0.3">
      <c r="A2" s="2"/>
      <c r="B2" s="2"/>
      <c r="C2" s="2"/>
    </row>
    <row r="3" spans="1:3" x14ac:dyDescent="0.3">
      <c r="A3" s="4" t="s">
        <v>745</v>
      </c>
      <c r="B3" s="4" t="s">
        <v>4</v>
      </c>
      <c r="C3" s="4" t="s">
        <v>5</v>
      </c>
    </row>
    <row r="4" spans="1:3" x14ac:dyDescent="0.3">
      <c r="A4" s="2" t="s">
        <v>729</v>
      </c>
      <c r="B4" s="5">
        <f>Calculos_Massa!B22</f>
        <v>1688.3435250000002</v>
      </c>
      <c r="C4" s="2" t="s">
        <v>247</v>
      </c>
    </row>
    <row r="5" spans="1:3" x14ac:dyDescent="0.3">
      <c r="A5" s="2" t="s">
        <v>731</v>
      </c>
      <c r="B5" s="5">
        <f>Calculos_Massa!B23</f>
        <v>1046.7729855</v>
      </c>
      <c r="C5" s="2" t="s">
        <v>247</v>
      </c>
    </row>
    <row r="6" spans="1:3" x14ac:dyDescent="0.3">
      <c r="A6" s="2" t="s">
        <v>746</v>
      </c>
      <c r="B6" s="5">
        <f>Calculos_Massa!B20</f>
        <v>24.633663119595283</v>
      </c>
      <c r="C6" s="2" t="s">
        <v>15</v>
      </c>
    </row>
    <row r="7" spans="1:3" x14ac:dyDescent="0.3">
      <c r="A7" s="2" t="s">
        <v>479</v>
      </c>
      <c r="B7" s="5">
        <f>Calculos_Massa!B34</f>
        <v>2.5580962500000002</v>
      </c>
      <c r="C7" s="2" t="s">
        <v>274</v>
      </c>
    </row>
    <row r="8" spans="1:3" x14ac:dyDescent="0.3">
      <c r="A8" s="2" t="s">
        <v>485</v>
      </c>
      <c r="B8" s="5">
        <f>Premissas!C39</f>
        <v>55</v>
      </c>
      <c r="C8" s="2" t="s">
        <v>39</v>
      </c>
    </row>
    <row r="9" spans="1:3" x14ac:dyDescent="0.3">
      <c r="A9" s="2" t="s">
        <v>549</v>
      </c>
      <c r="B9" s="5">
        <f>Balanco_Energia!B15</f>
        <v>3757.8568638902498</v>
      </c>
      <c r="C9" s="2" t="s">
        <v>353</v>
      </c>
    </row>
    <row r="10" spans="1:3" x14ac:dyDescent="0.3">
      <c r="A10" s="2" t="s">
        <v>747</v>
      </c>
      <c r="B10" s="5">
        <f>Balanco_Energia!B16</f>
        <v>156.5773693287604</v>
      </c>
      <c r="C10" s="2" t="s">
        <v>364</v>
      </c>
    </row>
    <row r="11" spans="1:3" x14ac:dyDescent="0.3">
      <c r="A11" s="2" t="s">
        <v>736</v>
      </c>
      <c r="B11" s="5">
        <f>Balanco_Energia!B13</f>
        <v>12059.335659978002</v>
      </c>
      <c r="C11" s="2" t="s">
        <v>340</v>
      </c>
    </row>
    <row r="12" spans="1:3" x14ac:dyDescent="0.3">
      <c r="A12" s="2" t="s">
        <v>524</v>
      </c>
      <c r="B12" s="5">
        <f>Balanco_Energia!B9</f>
        <v>37474.472880900001</v>
      </c>
      <c r="C12" s="2" t="s">
        <v>340</v>
      </c>
    </row>
    <row r="13" spans="1:3" x14ac:dyDescent="0.3">
      <c r="A13" s="2" t="s">
        <v>737</v>
      </c>
      <c r="B13" s="5">
        <f>Calculos_Massa!B38</f>
        <v>100285.92895295352</v>
      </c>
      <c r="C13" s="2" t="s">
        <v>218</v>
      </c>
    </row>
    <row r="14" spans="1:3" x14ac:dyDescent="0.3">
      <c r="A14" s="2" t="s">
        <v>739</v>
      </c>
      <c r="B14" s="5">
        <f>Calculos_Massa!B33</f>
        <v>2000</v>
      </c>
      <c r="C14" s="2" t="s">
        <v>271</v>
      </c>
    </row>
    <row r="15" spans="1:3" x14ac:dyDescent="0.3">
      <c r="A15" s="2" t="s">
        <v>748</v>
      </c>
      <c r="B15" s="5">
        <f>Fechamento_Elementar!B15</f>
        <v>35.844813790357023</v>
      </c>
      <c r="C15" s="2" t="s">
        <v>39</v>
      </c>
    </row>
    <row r="16" spans="1:3" x14ac:dyDescent="0.3">
      <c r="A16" s="2" t="s">
        <v>674</v>
      </c>
      <c r="B16" s="5">
        <f>Custos!E11</f>
        <v>-859.81095526412491</v>
      </c>
      <c r="C16" s="2" t="s">
        <v>749</v>
      </c>
    </row>
    <row r="17" spans="1:3" x14ac:dyDescent="0.3">
      <c r="A17" s="2" t="s">
        <v>741</v>
      </c>
      <c r="B17" s="5">
        <f>COUNTIF(Verificacoes!E5:E14,"OK")+COUNTIF(Verificacoes!E5:E14,"OK - autossuficiente")</f>
        <v>10</v>
      </c>
      <c r="C17" s="2" t="s">
        <v>742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6631-8CBF-432D-BA3B-125D69683676}">
  <dimension ref="A1:R26"/>
  <sheetViews>
    <sheetView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49.88671875" bestFit="1" customWidth="1"/>
    <col min="17" max="17" width="17.33203125" bestFit="1" customWidth="1"/>
    <col min="18" max="18" width="12" bestFit="1" customWidth="1"/>
  </cols>
  <sheetData>
    <row r="1" spans="1:18" ht="18" x14ac:dyDescent="0.35">
      <c r="A1" s="1" t="s">
        <v>750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3">
      <c r="A2" s="3" t="s">
        <v>751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 t="s">
        <v>418</v>
      </c>
      <c r="R2" s="2">
        <f>Calculos_Massa!B27</f>
        <v>747.22797216025697</v>
      </c>
    </row>
    <row r="3" spans="1:1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 t="s">
        <v>753</v>
      </c>
      <c r="R3" s="2">
        <f>Calculos_Massa!B29</f>
        <v>1193.1543426429912</v>
      </c>
    </row>
    <row r="4" spans="1:18" x14ac:dyDescent="0.3">
      <c r="A4" s="14" t="str">
        <f>"Biogas"&amp;CHAR(10)&amp;FIXED(KPIs!B4,0,TRUE)&amp;" Nm3/dia"</f>
        <v>Biogas
1688 Nm3/dia</v>
      </c>
      <c r="B4" s="14"/>
      <c r="C4" s="14"/>
      <c r="D4" s="2"/>
      <c r="E4" s="14" t="str">
        <f>"Metano"&amp;CHAR(10)&amp;FIXED(KPIs!B5,0,TRUE)&amp;" Nm3/dia"</f>
        <v>Metano
1047 Nm3/dia</v>
      </c>
      <c r="F4" s="14"/>
      <c r="G4" s="14"/>
      <c r="H4" s="2"/>
      <c r="I4" s="14" t="str">
        <f>"C/N Mistura"&amp;CHAR(10)&amp;FIXED(KPIs!B6,1,TRUE)</f>
        <v>C/N Mistura
24,6</v>
      </c>
      <c r="J4" s="14"/>
      <c r="K4" s="14"/>
      <c r="L4" s="2"/>
      <c r="M4" s="14" t="str">
        <f>"COV"&amp;CHAR(10)&amp;FIXED(KPIs!B7,2,TRUE)&amp;" kgSV/m3.dia"</f>
        <v>COV
2,56 kgSV/m3.dia</v>
      </c>
      <c r="N4" s="14"/>
      <c r="O4" s="14"/>
      <c r="P4" s="2"/>
      <c r="Q4" s="2" t="s">
        <v>754</v>
      </c>
      <c r="R4" s="2">
        <f>Calculos_Massa!B31</f>
        <v>43.688732243240835</v>
      </c>
    </row>
    <row r="5" spans="1:18" x14ac:dyDescent="0.3">
      <c r="A5" s="14"/>
      <c r="B5" s="14"/>
      <c r="C5" s="14"/>
      <c r="D5" s="2"/>
      <c r="E5" s="14"/>
      <c r="F5" s="14"/>
      <c r="G5" s="14"/>
      <c r="H5" s="2"/>
      <c r="I5" s="14"/>
      <c r="J5" s="14"/>
      <c r="K5" s="14"/>
      <c r="L5" s="2"/>
      <c r="M5" s="14"/>
      <c r="N5" s="14"/>
      <c r="O5" s="14"/>
      <c r="P5" s="2"/>
      <c r="Q5" s="2"/>
      <c r="R5" s="2"/>
    </row>
    <row r="6" spans="1:18" x14ac:dyDescent="0.3">
      <c r="A6" s="14"/>
      <c r="B6" s="14"/>
      <c r="C6" s="14"/>
      <c r="D6" s="2"/>
      <c r="E6" s="14"/>
      <c r="F6" s="14"/>
      <c r="G6" s="14"/>
      <c r="H6" s="2"/>
      <c r="I6" s="14"/>
      <c r="J6" s="14"/>
      <c r="K6" s="14"/>
      <c r="L6" s="2"/>
      <c r="M6" s="14"/>
      <c r="N6" s="14"/>
      <c r="O6" s="14"/>
      <c r="P6" s="2"/>
      <c r="Q6" s="2" t="s">
        <v>755</v>
      </c>
      <c r="R6" s="2">
        <f>Calculos_Massa!B21</f>
        <v>2813.9058750000004</v>
      </c>
    </row>
    <row r="7" spans="1:18" x14ac:dyDescent="0.3">
      <c r="A7" s="14"/>
      <c r="B7" s="14"/>
      <c r="C7" s="14"/>
      <c r="D7" s="2"/>
      <c r="E7" s="14"/>
      <c r="F7" s="14"/>
      <c r="G7" s="14"/>
      <c r="H7" s="2"/>
      <c r="I7" s="14"/>
      <c r="J7" s="14"/>
      <c r="K7" s="14"/>
      <c r="L7" s="2"/>
      <c r="M7" s="14"/>
      <c r="N7" s="14"/>
      <c r="O7" s="14"/>
      <c r="P7" s="2"/>
      <c r="Q7" s="2" t="s">
        <v>756</v>
      </c>
      <c r="R7" s="2">
        <f>Calculos_Massa!B35</f>
        <v>2302.2866249999997</v>
      </c>
    </row>
    <row r="8" spans="1:18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3">
      <c r="A9" s="15" t="str">
        <f>"Eletricidade liq."&amp;CHAR(10)&amp;FIXED(KPIs!B9,0,TRUE)&amp;" kWh/dia"</f>
        <v>Eletricidade liq.
3758 kWh/dia</v>
      </c>
      <c r="B9" s="15"/>
      <c r="C9" s="15"/>
      <c r="D9" s="2"/>
      <c r="E9" s="15" t="str">
        <f>"Potencia media"&amp;CHAR(10)&amp;FIXED(KPIs!B10,1,TRUE)&amp;" kW"</f>
        <v>Potencia media
156,6 kW</v>
      </c>
      <c r="F9" s="15"/>
      <c r="G9" s="15"/>
      <c r="H9" s="2"/>
      <c r="I9" s="15" t="str">
        <f>"Digestato"&amp;CHAR(10)&amp;FIXED(KPIs!B13,0,TRUE)&amp;" kg/dia"</f>
        <v>Digestato
100286 kg/dia</v>
      </c>
      <c r="J9" s="15"/>
      <c r="K9" s="15"/>
      <c r="L9" s="2"/>
      <c r="M9" s="15" t="str">
        <f>"Saldo R$/dia"&amp;CHAR(10)&amp;FIXED(KPIs!B16,2,TRUE)</f>
        <v>Saldo R$/dia
-859,81</v>
      </c>
      <c r="N9" s="15"/>
      <c r="O9" s="15"/>
      <c r="P9" s="2"/>
      <c r="Q9" s="2" t="s">
        <v>757</v>
      </c>
      <c r="R9" s="2">
        <f>Balanco_Energia!B5</f>
        <v>6136.2</v>
      </c>
    </row>
    <row r="10" spans="1:18" x14ac:dyDescent="0.3">
      <c r="A10" s="15"/>
      <c r="B10" s="15"/>
      <c r="C10" s="15"/>
      <c r="D10" s="2"/>
      <c r="E10" s="15"/>
      <c r="F10" s="15"/>
      <c r="G10" s="15"/>
      <c r="H10" s="2"/>
      <c r="I10" s="15"/>
      <c r="J10" s="15"/>
      <c r="K10" s="15"/>
      <c r="L10" s="2"/>
      <c r="M10" s="15"/>
      <c r="N10" s="15"/>
      <c r="O10" s="15"/>
      <c r="P10" s="2"/>
      <c r="Q10" s="2" t="s">
        <v>758</v>
      </c>
      <c r="R10" s="2">
        <f>Balanco_Energia!B6</f>
        <v>920.43</v>
      </c>
    </row>
    <row r="11" spans="1:18" x14ac:dyDescent="0.3">
      <c r="A11" s="15"/>
      <c r="B11" s="15"/>
      <c r="C11" s="15"/>
      <c r="D11" s="2"/>
      <c r="E11" s="15"/>
      <c r="F11" s="15"/>
      <c r="G11" s="15"/>
      <c r="H11" s="2"/>
      <c r="I11" s="15"/>
      <c r="J11" s="15"/>
      <c r="K11" s="15"/>
      <c r="L11" s="2"/>
      <c r="M11" s="15"/>
      <c r="N11" s="15"/>
      <c r="O11" s="15"/>
      <c r="P11" s="2"/>
      <c r="Q11" s="2" t="s">
        <v>759</v>
      </c>
      <c r="R11" s="2">
        <f>Balanco_Energia!B7</f>
        <v>3376.6870500000005</v>
      </c>
    </row>
    <row r="12" spans="1:18" x14ac:dyDescent="0.3">
      <c r="A12" s="15"/>
      <c r="B12" s="15"/>
      <c r="C12" s="15"/>
      <c r="D12" s="2"/>
      <c r="E12" s="15"/>
      <c r="F12" s="15"/>
      <c r="G12" s="15"/>
      <c r="H12" s="2"/>
      <c r="I12" s="15"/>
      <c r="J12" s="15"/>
      <c r="K12" s="15"/>
      <c r="L12" s="2"/>
      <c r="M12" s="15"/>
      <c r="N12" s="15"/>
      <c r="O12" s="15"/>
      <c r="P12" s="2"/>
      <c r="Q12" s="2" t="s">
        <v>760</v>
      </c>
      <c r="R12" s="2">
        <f>Balanco_Energia!B13</f>
        <v>12059.335659978002</v>
      </c>
    </row>
    <row r="13" spans="1:18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3">
      <c r="A14" s="3" t="s">
        <v>752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 t="s">
        <v>559</v>
      </c>
      <c r="R14" s="2">
        <f>Fechamento_Elementar!F5</f>
        <v>885.82670893191755</v>
      </c>
    </row>
    <row r="15" spans="1:18" ht="201.6" x14ac:dyDescent="0.3">
      <c r="A15" s="13" t="str">
        <f>"O processo recebe "&amp;FIXED(Premissas!C5,0,TRUE)&amp;" m3/dia de mistura e gera "&amp;FIXED(KPIs!B4,0,TRUE)&amp;" Nm3/dia de biogas com "&amp;FIXED(Premissas!C41,0,TRUE)&amp;"% de metano."</f>
        <v>O processo recebe 100 m3/dia de mistura e gera 1688 Nm3/dia de biogas com 62% de metano.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 t="s">
        <v>761</v>
      </c>
      <c r="R15" s="2">
        <f>Fechamento_Elementar!G5</f>
        <v>1585.4560660680822</v>
      </c>
    </row>
    <row r="16" spans="1:18" ht="244.8" x14ac:dyDescent="0.3">
      <c r="A16" s="13" t="str">
        <f>"A cogeracao produz "&amp;FIXED(KPIs!B9,0,TRUE)&amp;" kWh/dia de eletricidade liquida ("&amp;FIXED(KPIs!B10,1,TRUE)&amp;" kW medio) e o sistema e termicamente autossuficiente."</f>
        <v>A cogeracao produz 3758 kWh/dia de eletricidade liquida (156,6 kW medio) e o sistema e termicamente autossuficiente.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 t="s">
        <v>564</v>
      </c>
      <c r="R16" s="2">
        <f>Fechamento_Elementar!F6</f>
        <v>186.80699304006424</v>
      </c>
    </row>
    <row r="17" spans="1:18" ht="172.8" x14ac:dyDescent="0.3">
      <c r="A17" s="13" t="str">
        <f>"O fechamento elementar mostra que "&amp;FIXED(KPIs!B15,1,TRUE)&amp;"% do carbono de entrada sai como biogas."</f>
        <v>O fechamento elementar mostra que 35,8% do carbono de entrada sai como biogas.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 t="s">
        <v>762</v>
      </c>
      <c r="R17" s="2">
        <f>Fechamento_Elementar!G6</f>
        <v>158.41901945993578</v>
      </c>
    </row>
    <row r="18" spans="1:18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 t="s">
        <v>763</v>
      </c>
      <c r="R19" s="2">
        <f>Calculos_Massa!B16</f>
        <v>1160.25</v>
      </c>
    </row>
    <row r="20" spans="1:18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 t="s">
        <v>764</v>
      </c>
      <c r="R20" s="2">
        <f>Calculos_Massa!B17</f>
        <v>385.9425</v>
      </c>
    </row>
    <row r="21" spans="1:18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 t="s">
        <v>765</v>
      </c>
      <c r="R21" s="2">
        <f>Calculos_Massa!B18</f>
        <v>3570</v>
      </c>
    </row>
    <row r="22" spans="1:18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 t="s">
        <v>766</v>
      </c>
      <c r="R23" s="2">
        <f>Custos!E5</f>
        <v>1105.7052374999998</v>
      </c>
    </row>
    <row r="24" spans="1:18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 t="s">
        <v>767</v>
      </c>
      <c r="R24" s="2">
        <f>Custos!E6</f>
        <v>148.3364551535625</v>
      </c>
    </row>
    <row r="25" spans="1:18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 t="s">
        <v>768</v>
      </c>
      <c r="R25" s="2">
        <f>ABS(Custos!E7)</f>
        <v>2818.3926479176871</v>
      </c>
    </row>
    <row r="26" spans="1:18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 t="s">
        <v>769</v>
      </c>
      <c r="R26" s="2">
        <f>Custos!E8+Custos!E9</f>
        <v>704.54</v>
      </c>
    </row>
  </sheetData>
  <mergeCells count="8">
    <mergeCell ref="A4:C7"/>
    <mergeCell ref="E4:G7"/>
    <mergeCell ref="I4:K7"/>
    <mergeCell ref="M4:O7"/>
    <mergeCell ref="A9:C12"/>
    <mergeCell ref="E9:G12"/>
    <mergeCell ref="I9:K12"/>
    <mergeCell ref="M9:O12"/>
  </mergeCell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802F-E38E-4798-8AAA-DFE73AEA4A59}">
  <dimension ref="A1:D15"/>
  <sheetViews>
    <sheetView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45.44140625" bestFit="1" customWidth="1"/>
    <col min="2" max="2" width="7.5546875" bestFit="1" customWidth="1"/>
    <col min="3" max="3" width="8.109375" bestFit="1" customWidth="1"/>
    <col min="4" max="4" width="33.6640625" bestFit="1" customWidth="1"/>
  </cols>
  <sheetData>
    <row r="1" spans="1:4" ht="18" x14ac:dyDescent="0.35">
      <c r="A1" s="1" t="s">
        <v>693</v>
      </c>
      <c r="B1" s="2"/>
      <c r="C1" s="2"/>
      <c r="D1" s="2"/>
    </row>
    <row r="2" spans="1:4" x14ac:dyDescent="0.3">
      <c r="A2" s="3" t="s">
        <v>694</v>
      </c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4" t="s">
        <v>338</v>
      </c>
      <c r="B4" s="4" t="s">
        <v>4</v>
      </c>
      <c r="C4" s="4" t="s">
        <v>5</v>
      </c>
      <c r="D4" s="4" t="s">
        <v>293</v>
      </c>
    </row>
    <row r="5" spans="1:4" x14ac:dyDescent="0.3">
      <c r="A5" s="2" t="s">
        <v>695</v>
      </c>
      <c r="B5" s="5">
        <f>Calculos_Massa!B38</f>
        <v>100285.92895295352</v>
      </c>
      <c r="C5" s="2" t="s">
        <v>218</v>
      </c>
      <c r="D5" s="2" t="s">
        <v>696</v>
      </c>
    </row>
    <row r="6" spans="1:4" x14ac:dyDescent="0.3">
      <c r="A6" s="2" t="s">
        <v>697</v>
      </c>
      <c r="B6" s="5">
        <f>Calculos_Massa!B37</f>
        <v>3685.6841249999998</v>
      </c>
      <c r="C6" s="2" t="s">
        <v>218</v>
      </c>
      <c r="D6" s="2" t="s">
        <v>698</v>
      </c>
    </row>
    <row r="7" spans="1:4" x14ac:dyDescent="0.3">
      <c r="A7" s="2" t="s">
        <v>699</v>
      </c>
      <c r="B7" s="5">
        <f>Calculos_Massa!B35</f>
        <v>2302.2866249999997</v>
      </c>
      <c r="C7" s="2" t="s">
        <v>218</v>
      </c>
      <c r="D7" s="2" t="s">
        <v>700</v>
      </c>
    </row>
    <row r="8" spans="1:4" x14ac:dyDescent="0.3">
      <c r="A8" s="2" t="s">
        <v>701</v>
      </c>
      <c r="B8" s="5">
        <f>Calculos_Massa!B36</f>
        <v>1383.3975</v>
      </c>
      <c r="C8" s="2" t="s">
        <v>218</v>
      </c>
      <c r="D8" s="2" t="s">
        <v>467</v>
      </c>
    </row>
    <row r="9" spans="1:4" x14ac:dyDescent="0.3">
      <c r="A9" s="2" t="s">
        <v>702</v>
      </c>
      <c r="B9" s="5">
        <f>B5-B6</f>
        <v>96600.244827953517</v>
      </c>
      <c r="C9" s="2" t="s">
        <v>218</v>
      </c>
      <c r="D9" s="2" t="s">
        <v>703</v>
      </c>
    </row>
    <row r="10" spans="1:4" x14ac:dyDescent="0.3">
      <c r="A10" s="2" t="s">
        <v>704</v>
      </c>
      <c r="B10" s="5">
        <f>B6/B5*100</f>
        <v>3.6751757335059843</v>
      </c>
      <c r="C10" s="2" t="s">
        <v>39</v>
      </c>
      <c r="D10" s="2" t="s">
        <v>705</v>
      </c>
    </row>
    <row r="11" spans="1:4" x14ac:dyDescent="0.3">
      <c r="A11" s="2" t="s">
        <v>706</v>
      </c>
      <c r="B11" s="5">
        <f>Premissas!C53</f>
        <v>25</v>
      </c>
      <c r="C11" s="2" t="s">
        <v>39</v>
      </c>
      <c r="D11" s="2" t="s">
        <v>707</v>
      </c>
    </row>
    <row r="12" spans="1:4" x14ac:dyDescent="0.3">
      <c r="A12" s="2" t="s">
        <v>708</v>
      </c>
      <c r="B12" s="5">
        <f>B6/(B11/100)</f>
        <v>14742.736499999999</v>
      </c>
      <c r="C12" s="2" t="s">
        <v>218</v>
      </c>
      <c r="D12" s="2" t="s">
        <v>709</v>
      </c>
    </row>
    <row r="13" spans="1:4" x14ac:dyDescent="0.3">
      <c r="A13" s="2" t="s">
        <v>710</v>
      </c>
      <c r="B13" s="5">
        <f>B12-B6</f>
        <v>11057.052374999999</v>
      </c>
      <c r="C13" s="2" t="s">
        <v>218</v>
      </c>
      <c r="D13" s="2" t="s">
        <v>711</v>
      </c>
    </row>
    <row r="14" spans="1:4" x14ac:dyDescent="0.3">
      <c r="A14" s="2" t="s">
        <v>712</v>
      </c>
      <c r="B14" s="5">
        <f>B9-B13</f>
        <v>85543.192452953517</v>
      </c>
      <c r="C14" s="2" t="s">
        <v>218</v>
      </c>
      <c r="D14" s="2" t="s">
        <v>713</v>
      </c>
    </row>
    <row r="15" spans="1:4" x14ac:dyDescent="0.3">
      <c r="A15" s="2" t="s">
        <v>714</v>
      </c>
      <c r="B15" s="5">
        <f>B5-B12</f>
        <v>85543.192452953517</v>
      </c>
      <c r="C15" s="2" t="s">
        <v>218</v>
      </c>
      <c r="D15" s="2" t="s">
        <v>715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A28A-53DF-4548-8136-3CDBC25ADA87}">
  <dimension ref="A1:H44"/>
  <sheetViews>
    <sheetView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71.33203125" bestFit="1" customWidth="1"/>
    <col min="2" max="2" width="17.5546875" bestFit="1" customWidth="1"/>
    <col min="3" max="3" width="23.88671875" bestFit="1" customWidth="1"/>
    <col min="4" max="4" width="22.33203125" bestFit="1" customWidth="1"/>
    <col min="5" max="5" width="7.5546875" bestFit="1" customWidth="1"/>
    <col min="6" max="6" width="8.109375" bestFit="1" customWidth="1"/>
    <col min="7" max="7" width="14.77734375" bestFit="1" customWidth="1"/>
    <col min="8" max="8" width="9.5546875" bestFit="1" customWidth="1"/>
  </cols>
  <sheetData>
    <row r="1" spans="1:8" ht="18" x14ac:dyDescent="0.35">
      <c r="A1" s="1" t="s">
        <v>770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771</v>
      </c>
      <c r="B2" s="2"/>
      <c r="C2" s="2"/>
      <c r="D2" s="2"/>
      <c r="E2" s="2"/>
      <c r="F2" s="2"/>
      <c r="G2" s="2"/>
      <c r="H2" s="2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x14ac:dyDescent="0.3">
      <c r="A4" s="4" t="s">
        <v>772</v>
      </c>
      <c r="B4" s="4" t="s">
        <v>773</v>
      </c>
      <c r="C4" s="4" t="s">
        <v>774</v>
      </c>
      <c r="D4" s="4" t="s">
        <v>452</v>
      </c>
      <c r="E4" s="4" t="s">
        <v>4</v>
      </c>
      <c r="F4" s="4" t="s">
        <v>5</v>
      </c>
      <c r="G4" s="4" t="s">
        <v>775</v>
      </c>
      <c r="H4" s="4" t="s">
        <v>776</v>
      </c>
    </row>
    <row r="5" spans="1:8" x14ac:dyDescent="0.3">
      <c r="A5" s="2" t="s">
        <v>777</v>
      </c>
      <c r="B5" s="2" t="s">
        <v>778</v>
      </c>
      <c r="C5" s="2" t="s">
        <v>779</v>
      </c>
      <c r="D5" s="2" t="s">
        <v>780</v>
      </c>
      <c r="E5" s="8">
        <f>Premissas!C5*0.5</f>
        <v>50</v>
      </c>
      <c r="F5" s="2" t="s">
        <v>271</v>
      </c>
      <c r="G5" s="9">
        <v>0.2</v>
      </c>
      <c r="H5" s="8">
        <f>E5*1.2</f>
        <v>60</v>
      </c>
    </row>
    <row r="6" spans="1:8" x14ac:dyDescent="0.3">
      <c r="A6" s="2" t="s">
        <v>777</v>
      </c>
      <c r="B6" s="2"/>
      <c r="C6" s="2" t="s">
        <v>781</v>
      </c>
      <c r="D6" s="2" t="s">
        <v>782</v>
      </c>
      <c r="E6" s="8">
        <f>(4*H5/3.14159)^(1/3)</f>
        <v>4.2431388664639149</v>
      </c>
      <c r="F6" s="2" t="s">
        <v>783</v>
      </c>
      <c r="G6" s="2"/>
      <c r="H6" s="8"/>
    </row>
    <row r="7" spans="1:8" x14ac:dyDescent="0.3">
      <c r="A7" s="2" t="s">
        <v>777</v>
      </c>
      <c r="B7" s="2"/>
      <c r="C7" s="2" t="s">
        <v>784</v>
      </c>
      <c r="D7" s="2" t="e">
        <f>D</f>
        <v>#NAME?</v>
      </c>
      <c r="E7" s="8">
        <f>E6</f>
        <v>4.2431388664639149</v>
      </c>
      <c r="F7" s="2" t="s">
        <v>783</v>
      </c>
      <c r="G7" s="2"/>
      <c r="H7" s="8"/>
    </row>
    <row r="8" spans="1:8" x14ac:dyDescent="0.3">
      <c r="A8" s="2" t="s">
        <v>777</v>
      </c>
      <c r="B8" s="2"/>
      <c r="C8" s="2" t="s">
        <v>785</v>
      </c>
      <c r="D8" s="2" t="s">
        <v>786</v>
      </c>
      <c r="E8" s="8">
        <f>0.5*H5</f>
        <v>30</v>
      </c>
      <c r="F8" s="2" t="s">
        <v>364</v>
      </c>
      <c r="G8" s="2"/>
      <c r="H8" s="8"/>
    </row>
    <row r="9" spans="1:8" x14ac:dyDescent="0.3">
      <c r="A9" s="2" t="s">
        <v>787</v>
      </c>
      <c r="B9" s="2" t="s">
        <v>788</v>
      </c>
      <c r="C9" s="2" t="s">
        <v>779</v>
      </c>
      <c r="D9" s="2" t="s">
        <v>789</v>
      </c>
      <c r="E9" s="8">
        <f>Premissas!C5*Premissas!C38</f>
        <v>2000</v>
      </c>
      <c r="F9" s="2" t="s">
        <v>271</v>
      </c>
      <c r="G9" s="2" t="s">
        <v>790</v>
      </c>
      <c r="H9" s="8">
        <f>E9*1.15</f>
        <v>2300</v>
      </c>
    </row>
    <row r="10" spans="1:8" x14ac:dyDescent="0.3">
      <c r="A10" s="2" t="s">
        <v>787</v>
      </c>
      <c r="B10" s="2"/>
      <c r="C10" s="2" t="s">
        <v>791</v>
      </c>
      <c r="D10" s="2" t="s">
        <v>792</v>
      </c>
      <c r="E10" s="8">
        <f>(4*E9/(1.5*3.14159))^(1/3)</f>
        <v>11.929339744623679</v>
      </c>
      <c r="F10" s="2" t="s">
        <v>783</v>
      </c>
      <c r="G10" s="2"/>
      <c r="H10" s="8"/>
    </row>
    <row r="11" spans="1:8" x14ac:dyDescent="0.3">
      <c r="A11" s="2" t="s">
        <v>787</v>
      </c>
      <c r="B11" s="2"/>
      <c r="C11" s="2" t="s">
        <v>793</v>
      </c>
      <c r="D11" s="2" t="s">
        <v>794</v>
      </c>
      <c r="E11" s="8">
        <f>1.5*E10</f>
        <v>17.89400961693552</v>
      </c>
      <c r="F11" s="2" t="s">
        <v>783</v>
      </c>
      <c r="G11" s="2"/>
      <c r="H11" s="8"/>
    </row>
    <row r="12" spans="1:8" x14ac:dyDescent="0.3">
      <c r="A12" s="2" t="s">
        <v>787</v>
      </c>
      <c r="B12" s="2"/>
      <c r="C12" s="2" t="s">
        <v>795</v>
      </c>
      <c r="D12" s="2" t="s">
        <v>796</v>
      </c>
      <c r="E12" s="8">
        <f>3</f>
        <v>3</v>
      </c>
      <c r="F12" s="2" t="s">
        <v>783</v>
      </c>
      <c r="G12" s="2"/>
      <c r="H12" s="8"/>
    </row>
    <row r="13" spans="1:8" x14ac:dyDescent="0.3">
      <c r="A13" s="2" t="s">
        <v>787</v>
      </c>
      <c r="B13" s="2"/>
      <c r="C13" s="2" t="s">
        <v>797</v>
      </c>
      <c r="D13" s="2" t="s">
        <v>798</v>
      </c>
      <c r="E13" s="8">
        <f>E11+E12</f>
        <v>20.89400961693552</v>
      </c>
      <c r="F13" s="2" t="s">
        <v>783</v>
      </c>
      <c r="G13" s="2"/>
      <c r="H13" s="8"/>
    </row>
    <row r="14" spans="1:8" x14ac:dyDescent="0.3">
      <c r="A14" s="2" t="s">
        <v>787</v>
      </c>
      <c r="B14" s="2"/>
      <c r="C14" s="2" t="s">
        <v>799</v>
      </c>
      <c r="D14" s="2" t="s">
        <v>800</v>
      </c>
      <c r="E14" s="8">
        <f>3.14159/4*E10^2*E11</f>
        <v>2000.0000000000002</v>
      </c>
      <c r="F14" s="2" t="s">
        <v>271</v>
      </c>
      <c r="G14" s="2"/>
      <c r="H14" s="8"/>
    </row>
    <row r="15" spans="1:8" x14ac:dyDescent="0.3">
      <c r="A15" s="2" t="s">
        <v>787</v>
      </c>
      <c r="B15" s="2"/>
      <c r="C15" s="2" t="s">
        <v>801</v>
      </c>
      <c r="D15" s="2" t="s">
        <v>802</v>
      </c>
      <c r="E15" s="8">
        <f>0.01*E9</f>
        <v>20</v>
      </c>
      <c r="F15" s="2" t="s">
        <v>364</v>
      </c>
      <c r="G15" s="2"/>
      <c r="H15" s="8"/>
    </row>
    <row r="16" spans="1:8" x14ac:dyDescent="0.3">
      <c r="A16" s="2" t="s">
        <v>787</v>
      </c>
      <c r="B16" s="2"/>
      <c r="C16" s="2" t="s">
        <v>803</v>
      </c>
      <c r="D16" s="2" t="s">
        <v>804</v>
      </c>
      <c r="E16" s="8">
        <f>(0.00507*E10/2*1000)/(137.9*0.85-0.6*0.00507)</f>
        <v>0.25800163028264594</v>
      </c>
      <c r="F16" s="2" t="s">
        <v>805</v>
      </c>
      <c r="G16" s="2" t="s">
        <v>806</v>
      </c>
      <c r="H16" s="8">
        <f>MAX(E16,6.35)+3</f>
        <v>9.35</v>
      </c>
    </row>
    <row r="17" spans="1:8" x14ac:dyDescent="0.3">
      <c r="A17" s="2" t="s">
        <v>807</v>
      </c>
      <c r="B17" s="2" t="s">
        <v>808</v>
      </c>
      <c r="C17" s="2" t="s">
        <v>809</v>
      </c>
      <c r="D17" s="2" t="s">
        <v>810</v>
      </c>
      <c r="E17" s="8">
        <f>Calculos_Massa!B11*Premissas!C44*(Premissas!C37-Premissas!C36)/1000</f>
        <v>6136.2</v>
      </c>
      <c r="F17" s="2" t="s">
        <v>340</v>
      </c>
      <c r="G17" s="2"/>
      <c r="H17" s="8"/>
    </row>
    <row r="18" spans="1:8" x14ac:dyDescent="0.3">
      <c r="A18" s="2" t="s">
        <v>807</v>
      </c>
      <c r="B18" s="2"/>
      <c r="C18" s="2" t="s">
        <v>811</v>
      </c>
      <c r="D18" s="2" t="s">
        <v>812</v>
      </c>
      <c r="E18" s="8">
        <f>E17/86.4</f>
        <v>71.020833333333329</v>
      </c>
      <c r="F18" s="2" t="s">
        <v>364</v>
      </c>
      <c r="G18" s="2"/>
      <c r="H18" s="8"/>
    </row>
    <row r="19" spans="1:8" x14ac:dyDescent="0.3">
      <c r="A19" s="2" t="s">
        <v>807</v>
      </c>
      <c r="B19" s="2"/>
      <c r="C19" s="2" t="s">
        <v>813</v>
      </c>
      <c r="D19" s="2" t="s">
        <v>814</v>
      </c>
      <c r="E19" s="8">
        <f>(45-30)/LN(45/30)</f>
        <v>36.994551935646477</v>
      </c>
      <c r="F19" s="2" t="s">
        <v>119</v>
      </c>
      <c r="G19" s="2"/>
      <c r="H19" s="8"/>
    </row>
    <row r="20" spans="1:8" x14ac:dyDescent="0.3">
      <c r="A20" s="2" t="s">
        <v>807</v>
      </c>
      <c r="B20" s="2"/>
      <c r="C20" s="2" t="s">
        <v>815</v>
      </c>
      <c r="D20" s="2" t="s">
        <v>816</v>
      </c>
      <c r="E20" s="8">
        <f>800</f>
        <v>800</v>
      </c>
      <c r="F20" s="2" t="s">
        <v>817</v>
      </c>
      <c r="G20" s="2"/>
      <c r="H20" s="8"/>
    </row>
    <row r="21" spans="1:8" x14ac:dyDescent="0.3">
      <c r="A21" s="2" t="s">
        <v>807</v>
      </c>
      <c r="B21" s="2"/>
      <c r="C21" s="2" t="s">
        <v>818</v>
      </c>
      <c r="D21" s="2" t="s">
        <v>819</v>
      </c>
      <c r="E21" s="8">
        <f>E18*1000/E20/E19</f>
        <v>2.3997058221193268</v>
      </c>
      <c r="F21" s="2" t="s">
        <v>820</v>
      </c>
      <c r="G21" s="2" t="s">
        <v>821</v>
      </c>
      <c r="H21" s="8">
        <f>E21*1.3</f>
        <v>3.1196175687551251</v>
      </c>
    </row>
    <row r="22" spans="1:8" x14ac:dyDescent="0.3">
      <c r="A22" s="2" t="s">
        <v>822</v>
      </c>
      <c r="B22" s="2" t="s">
        <v>823</v>
      </c>
      <c r="C22" s="2" t="s">
        <v>824</v>
      </c>
      <c r="D22" s="2" t="s">
        <v>825</v>
      </c>
      <c r="E22" s="8">
        <f>Premissas!C5/24</f>
        <v>4.166666666666667</v>
      </c>
      <c r="F22" s="2" t="s">
        <v>826</v>
      </c>
      <c r="G22" s="2"/>
      <c r="H22" s="8"/>
    </row>
    <row r="23" spans="1:8" x14ac:dyDescent="0.3">
      <c r="A23" s="2" t="s">
        <v>822</v>
      </c>
      <c r="B23" s="2"/>
      <c r="C23" s="2" t="s">
        <v>827</v>
      </c>
      <c r="D23" s="2" t="s">
        <v>828</v>
      </c>
      <c r="E23" s="8">
        <f>2</f>
        <v>2</v>
      </c>
      <c r="F23" s="2" t="s">
        <v>829</v>
      </c>
      <c r="G23" s="2"/>
      <c r="H23" s="8"/>
    </row>
    <row r="24" spans="1:8" x14ac:dyDescent="0.3">
      <c r="A24" s="2" t="s">
        <v>822</v>
      </c>
      <c r="B24" s="2"/>
      <c r="C24" s="2" t="s">
        <v>830</v>
      </c>
      <c r="D24" s="2" t="s">
        <v>831</v>
      </c>
      <c r="E24" s="8">
        <f ca="1">E23/3600*E24*100000</f>
        <v>0</v>
      </c>
      <c r="F24" s="2" t="s">
        <v>832</v>
      </c>
      <c r="G24" s="2"/>
      <c r="H24" s="8"/>
    </row>
    <row r="25" spans="1:8" x14ac:dyDescent="0.3">
      <c r="A25" s="2" t="s">
        <v>822</v>
      </c>
      <c r="B25" s="2"/>
      <c r="C25" s="2" t="s">
        <v>833</v>
      </c>
      <c r="D25" s="2" t="s">
        <v>834</v>
      </c>
      <c r="E25" s="8">
        <f ca="1">E25/0.6</f>
        <v>0</v>
      </c>
      <c r="F25" s="2" t="s">
        <v>832</v>
      </c>
      <c r="G25" s="2" t="s">
        <v>835</v>
      </c>
      <c r="H25" s="8">
        <f>0.75</f>
        <v>0.75</v>
      </c>
    </row>
    <row r="26" spans="1:8" x14ac:dyDescent="0.3">
      <c r="A26" s="2" t="s">
        <v>836</v>
      </c>
      <c r="B26" s="2" t="s">
        <v>837</v>
      </c>
      <c r="C26" s="2" t="s">
        <v>824</v>
      </c>
      <c r="D26" s="2" t="s">
        <v>838</v>
      </c>
      <c r="E26" s="8">
        <f>Calculos_Massa!B38/1010/24</f>
        <v>4.1372082901383465</v>
      </c>
      <c r="F26" s="2" t="s">
        <v>826</v>
      </c>
      <c r="G26" s="2" t="s">
        <v>839</v>
      </c>
      <c r="H26" s="8">
        <f>0.75</f>
        <v>0.75</v>
      </c>
    </row>
    <row r="27" spans="1:8" x14ac:dyDescent="0.3">
      <c r="A27" s="2" t="s">
        <v>840</v>
      </c>
      <c r="B27" s="2" t="s">
        <v>841</v>
      </c>
      <c r="C27" s="2" t="s">
        <v>842</v>
      </c>
      <c r="D27" s="2" t="s">
        <v>843</v>
      </c>
      <c r="E27" s="8">
        <f>Calculos_Massa!B38</f>
        <v>100285.92895295352</v>
      </c>
      <c r="F27" s="2" t="s">
        <v>218</v>
      </c>
      <c r="G27" s="2"/>
      <c r="H27" s="8"/>
    </row>
    <row r="28" spans="1:8" x14ac:dyDescent="0.3">
      <c r="A28" s="2" t="s">
        <v>840</v>
      </c>
      <c r="B28" s="2"/>
      <c r="C28" s="2" t="s">
        <v>844</v>
      </c>
      <c r="D28" s="2" t="s">
        <v>845</v>
      </c>
      <c r="E28" s="8">
        <f>100</f>
        <v>100</v>
      </c>
      <c r="F28" s="2" t="s">
        <v>820</v>
      </c>
      <c r="G28" s="2"/>
      <c r="H28" s="8"/>
    </row>
    <row r="29" spans="1:8" x14ac:dyDescent="0.3">
      <c r="A29" s="2" t="s">
        <v>840</v>
      </c>
      <c r="B29" s="2"/>
      <c r="C29" s="2" t="s">
        <v>846</v>
      </c>
      <c r="D29" s="2" t="s">
        <v>847</v>
      </c>
      <c r="E29" s="8">
        <f>10</f>
        <v>10</v>
      </c>
      <c r="F29" s="2" t="s">
        <v>829</v>
      </c>
      <c r="G29" s="2"/>
      <c r="H29" s="8"/>
    </row>
    <row r="30" spans="1:8" x14ac:dyDescent="0.3">
      <c r="A30" s="2" t="s">
        <v>848</v>
      </c>
      <c r="B30" s="2" t="s">
        <v>849</v>
      </c>
      <c r="C30" s="2" t="s">
        <v>850</v>
      </c>
      <c r="D30" s="2" t="s">
        <v>616</v>
      </c>
      <c r="E30" s="8">
        <f>Calculos_Massa!B22</f>
        <v>1688.3435250000002</v>
      </c>
      <c r="F30" s="2" t="s">
        <v>247</v>
      </c>
      <c r="G30" s="2"/>
      <c r="H30" s="8"/>
    </row>
    <row r="31" spans="1:8" x14ac:dyDescent="0.3">
      <c r="A31" s="2" t="s">
        <v>848</v>
      </c>
      <c r="B31" s="2"/>
      <c r="C31" s="2" t="s">
        <v>851</v>
      </c>
      <c r="D31" s="2" t="s">
        <v>526</v>
      </c>
      <c r="E31" s="8">
        <f>Calculos_Massa!B23*Premissas!C46</f>
        <v>37474.472880900001</v>
      </c>
      <c r="F31" s="2" t="s">
        <v>340</v>
      </c>
      <c r="G31" s="2"/>
      <c r="H31" s="8"/>
    </row>
    <row r="32" spans="1:8" x14ac:dyDescent="0.3">
      <c r="A32" s="2" t="s">
        <v>848</v>
      </c>
      <c r="B32" s="2"/>
      <c r="C32" s="2" t="s">
        <v>852</v>
      </c>
      <c r="D32" s="2" t="s">
        <v>853</v>
      </c>
      <c r="E32" s="8">
        <f ca="1">E33*Premissas!C47/86.4</f>
        <v>0</v>
      </c>
      <c r="F32" s="2" t="s">
        <v>364</v>
      </c>
      <c r="G32" s="2"/>
      <c r="H32" s="8"/>
    </row>
    <row r="33" spans="1:8" x14ac:dyDescent="0.3">
      <c r="A33" s="2" t="s">
        <v>848</v>
      </c>
      <c r="B33" s="2"/>
      <c r="C33" s="2" t="s">
        <v>854</v>
      </c>
      <c r="D33" s="2" t="s">
        <v>855</v>
      </c>
      <c r="E33" s="8">
        <f ca="1">E34*(1-Premissas!C49)</f>
        <v>0</v>
      </c>
      <c r="F33" s="2" t="s">
        <v>364</v>
      </c>
      <c r="G33" s="2" t="s">
        <v>856</v>
      </c>
      <c r="H33" s="8">
        <f>200</f>
        <v>200</v>
      </c>
    </row>
    <row r="34" spans="1:8" x14ac:dyDescent="0.3">
      <c r="A34" s="2" t="s">
        <v>848</v>
      </c>
      <c r="B34" s="2"/>
      <c r="C34" s="2" t="s">
        <v>857</v>
      </c>
      <c r="D34" s="2" t="s">
        <v>858</v>
      </c>
      <c r="E34" s="8">
        <f ca="1">E33*Premissas!C48/86.4</f>
        <v>0</v>
      </c>
      <c r="F34" s="2" t="s">
        <v>364</v>
      </c>
      <c r="G34" s="2"/>
      <c r="H34" s="8"/>
    </row>
    <row r="35" spans="1:8" x14ac:dyDescent="0.3">
      <c r="A35" s="2" t="s">
        <v>859</v>
      </c>
      <c r="B35" s="2" t="s">
        <v>860</v>
      </c>
      <c r="C35" s="2" t="s">
        <v>861</v>
      </c>
      <c r="D35" s="2" t="s">
        <v>862</v>
      </c>
      <c r="E35" s="8">
        <f>Calculos_Massa!B22/24*6</f>
        <v>422.08588125000006</v>
      </c>
      <c r="F35" s="2" t="s">
        <v>863</v>
      </c>
      <c r="G35" s="2"/>
      <c r="H35" s="8"/>
    </row>
    <row r="36" spans="1:8" x14ac:dyDescent="0.3">
      <c r="A36" s="2" t="s">
        <v>864</v>
      </c>
      <c r="B36" s="2" t="s">
        <v>865</v>
      </c>
      <c r="C36" s="2" t="s">
        <v>866</v>
      </c>
      <c r="D36" s="2" t="s">
        <v>867</v>
      </c>
      <c r="E36" s="8">
        <f>Calculos_Massa!B22/24</f>
        <v>70.347646875000009</v>
      </c>
      <c r="F36" s="2" t="s">
        <v>868</v>
      </c>
      <c r="G36" s="2"/>
      <c r="H36" s="8"/>
    </row>
    <row r="37" spans="1:8" x14ac:dyDescent="0.3">
      <c r="A37" s="2" t="s">
        <v>864</v>
      </c>
      <c r="B37" s="2"/>
      <c r="C37" s="2" t="s">
        <v>869</v>
      </c>
      <c r="D37" s="2" t="s">
        <v>870</v>
      </c>
      <c r="E37" s="8">
        <f>3</f>
        <v>3</v>
      </c>
      <c r="F37" s="2" t="s">
        <v>871</v>
      </c>
      <c r="G37" s="2"/>
      <c r="H37" s="8"/>
    </row>
    <row r="38" spans="1:8" x14ac:dyDescent="0.3">
      <c r="A38" s="2" t="s">
        <v>864</v>
      </c>
      <c r="B38" s="2"/>
      <c r="C38" s="2" t="s">
        <v>872</v>
      </c>
      <c r="D38" s="2" t="s">
        <v>873</v>
      </c>
      <c r="E38" s="8">
        <f ca="1">E38/60*E39</f>
        <v>0</v>
      </c>
      <c r="F38" s="2" t="s">
        <v>271</v>
      </c>
      <c r="G38" s="2"/>
      <c r="H38" s="8"/>
    </row>
    <row r="39" spans="1:8" x14ac:dyDescent="0.3">
      <c r="A39" s="2" t="s">
        <v>864</v>
      </c>
      <c r="B39" s="2"/>
      <c r="C39" s="2" t="s">
        <v>874</v>
      </c>
      <c r="D39" s="2" t="s">
        <v>875</v>
      </c>
      <c r="E39" s="8">
        <f>1</f>
        <v>1</v>
      </c>
      <c r="F39" s="2" t="s">
        <v>783</v>
      </c>
      <c r="G39" s="2"/>
      <c r="H39" s="8"/>
    </row>
    <row r="40" spans="1:8" x14ac:dyDescent="0.3">
      <c r="A40" s="2" t="s">
        <v>864</v>
      </c>
      <c r="B40" s="2"/>
      <c r="C40" s="2" t="s">
        <v>876</v>
      </c>
      <c r="D40" s="2" t="s">
        <v>877</v>
      </c>
      <c r="E40" s="8">
        <f ca="1">E40/(3.14159/4*E41^2)</f>
        <v>0</v>
      </c>
      <c r="F40" s="2" t="s">
        <v>783</v>
      </c>
      <c r="G40" s="2"/>
      <c r="H40" s="8"/>
    </row>
    <row r="41" spans="1:8" x14ac:dyDescent="0.3">
      <c r="A41" s="2" t="s">
        <v>878</v>
      </c>
      <c r="B41" s="2" t="s">
        <v>879</v>
      </c>
      <c r="C41" s="2" t="s">
        <v>880</v>
      </c>
      <c r="D41" s="2" t="s">
        <v>881</v>
      </c>
      <c r="E41" s="8">
        <f>2</f>
        <v>2</v>
      </c>
      <c r="F41" s="2" t="s">
        <v>271</v>
      </c>
      <c r="G41" s="2"/>
      <c r="H41" s="8"/>
    </row>
    <row r="42" spans="1:8" x14ac:dyDescent="0.3">
      <c r="A42" s="2"/>
      <c r="B42" s="2"/>
      <c r="C42" s="2"/>
      <c r="D42" s="2"/>
      <c r="E42" s="8"/>
      <c r="F42" s="2"/>
      <c r="G42" s="2"/>
      <c r="H42" s="8"/>
    </row>
    <row r="43" spans="1:8" x14ac:dyDescent="0.3">
      <c r="A43" s="2"/>
      <c r="B43" s="2"/>
      <c r="C43" s="2"/>
      <c r="D43" s="2"/>
      <c r="E43" s="8"/>
      <c r="F43" s="2"/>
      <c r="G43" s="2"/>
      <c r="H43" s="8"/>
    </row>
    <row r="44" spans="1:8" x14ac:dyDescent="0.3">
      <c r="A44" s="2"/>
      <c r="B44" s="2"/>
      <c r="C44" s="2"/>
      <c r="D44" s="2"/>
      <c r="E44" s="8"/>
      <c r="F44" s="2"/>
      <c r="G44" s="2"/>
      <c r="H44" s="8"/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923EC-EA4E-4E17-B931-AF0FEE3AA04F}">
  <dimension ref="A1:F23"/>
  <sheetViews>
    <sheetView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71.109375" bestFit="1" customWidth="1"/>
    <col min="2" max="2" width="26.44140625" bestFit="1" customWidth="1"/>
    <col min="3" max="3" width="21" bestFit="1" customWidth="1"/>
    <col min="4" max="4" width="23" bestFit="1" customWidth="1"/>
    <col min="5" max="5" width="29.88671875" bestFit="1" customWidth="1"/>
    <col min="6" max="6" width="15.21875" bestFit="1" customWidth="1"/>
  </cols>
  <sheetData>
    <row r="1" spans="1:6" ht="18" x14ac:dyDescent="0.35">
      <c r="A1" s="1" t="s">
        <v>882</v>
      </c>
      <c r="B1" s="2"/>
      <c r="C1" s="2"/>
      <c r="D1" s="2"/>
      <c r="E1" s="2"/>
      <c r="F1" s="2"/>
    </row>
    <row r="2" spans="1:6" x14ac:dyDescent="0.3">
      <c r="A2" s="3" t="s">
        <v>883</v>
      </c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4" t="s">
        <v>772</v>
      </c>
      <c r="B4" s="4" t="s">
        <v>773</v>
      </c>
      <c r="C4" s="4" t="s">
        <v>884</v>
      </c>
      <c r="D4" s="4" t="s">
        <v>885</v>
      </c>
      <c r="E4" s="4" t="s">
        <v>886</v>
      </c>
      <c r="F4" s="4" t="s">
        <v>887</v>
      </c>
    </row>
    <row r="5" spans="1:6" x14ac:dyDescent="0.3">
      <c r="A5" s="2" t="s">
        <v>777</v>
      </c>
      <c r="B5" s="2" t="s">
        <v>778</v>
      </c>
      <c r="C5" s="2" t="s">
        <v>888</v>
      </c>
      <c r="D5" s="2" t="s">
        <v>889</v>
      </c>
      <c r="E5" s="2" t="s">
        <v>890</v>
      </c>
      <c r="F5" s="2" t="s">
        <v>891</v>
      </c>
    </row>
    <row r="6" spans="1:6" x14ac:dyDescent="0.3">
      <c r="A6" s="2" t="s">
        <v>822</v>
      </c>
      <c r="B6" s="2" t="s">
        <v>823</v>
      </c>
      <c r="C6" s="2" t="s">
        <v>892</v>
      </c>
      <c r="D6" s="2" t="s">
        <v>893</v>
      </c>
      <c r="E6" s="2" t="s">
        <v>894</v>
      </c>
      <c r="F6" s="2" t="s">
        <v>895</v>
      </c>
    </row>
    <row r="7" spans="1:6" x14ac:dyDescent="0.3">
      <c r="A7" s="2" t="s">
        <v>807</v>
      </c>
      <c r="B7" s="2" t="s">
        <v>808</v>
      </c>
      <c r="C7" s="2" t="s">
        <v>896</v>
      </c>
      <c r="D7" s="2" t="s">
        <v>897</v>
      </c>
      <c r="E7" s="2" t="s">
        <v>898</v>
      </c>
      <c r="F7" s="2" t="s">
        <v>899</v>
      </c>
    </row>
    <row r="8" spans="1:6" x14ac:dyDescent="0.3">
      <c r="A8" s="2" t="s">
        <v>787</v>
      </c>
      <c r="B8" s="2" t="s">
        <v>900</v>
      </c>
      <c r="C8" s="2" t="s">
        <v>901</v>
      </c>
      <c r="D8" s="2" t="s">
        <v>902</v>
      </c>
      <c r="E8" s="2" t="s">
        <v>903</v>
      </c>
      <c r="F8" s="2" t="s">
        <v>904</v>
      </c>
    </row>
    <row r="9" spans="1:6" x14ac:dyDescent="0.3">
      <c r="A9" s="2" t="s">
        <v>836</v>
      </c>
      <c r="B9" s="2" t="s">
        <v>837</v>
      </c>
      <c r="C9" s="2" t="s">
        <v>892</v>
      </c>
      <c r="D9" s="2" t="s">
        <v>893</v>
      </c>
      <c r="E9" s="2" t="s">
        <v>905</v>
      </c>
      <c r="F9" s="2" t="s">
        <v>895</v>
      </c>
    </row>
    <row r="10" spans="1:6" x14ac:dyDescent="0.3">
      <c r="A10" s="2" t="s">
        <v>840</v>
      </c>
      <c r="B10" s="2" t="s">
        <v>841</v>
      </c>
      <c r="C10" s="2" t="s">
        <v>906</v>
      </c>
      <c r="D10" s="2" t="s">
        <v>907</v>
      </c>
      <c r="E10" s="2" t="s">
        <v>908</v>
      </c>
      <c r="F10" s="2" t="s">
        <v>909</v>
      </c>
    </row>
    <row r="11" spans="1:6" x14ac:dyDescent="0.3">
      <c r="A11" s="2" t="s">
        <v>848</v>
      </c>
      <c r="B11" s="2" t="s">
        <v>910</v>
      </c>
      <c r="C11" s="2" t="s">
        <v>911</v>
      </c>
      <c r="D11" s="2" t="s">
        <v>912</v>
      </c>
      <c r="E11" s="2" t="s">
        <v>913</v>
      </c>
      <c r="F11" s="2" t="s">
        <v>914</v>
      </c>
    </row>
    <row r="12" spans="1:6" x14ac:dyDescent="0.3">
      <c r="A12" s="2" t="s">
        <v>859</v>
      </c>
      <c r="B12" s="2" t="s">
        <v>860</v>
      </c>
      <c r="C12" s="2" t="s">
        <v>915</v>
      </c>
      <c r="D12" s="2" t="s">
        <v>916</v>
      </c>
      <c r="E12" s="2" t="s">
        <v>917</v>
      </c>
      <c r="F12" s="2" t="s">
        <v>918</v>
      </c>
    </row>
    <row r="13" spans="1:6" x14ac:dyDescent="0.3">
      <c r="A13" s="2" t="s">
        <v>864</v>
      </c>
      <c r="B13" s="2" t="s">
        <v>865</v>
      </c>
      <c r="C13" s="2" t="s">
        <v>919</v>
      </c>
      <c r="D13" s="2" t="s">
        <v>920</v>
      </c>
      <c r="E13" s="2" t="s">
        <v>921</v>
      </c>
      <c r="F13" s="2" t="s">
        <v>922</v>
      </c>
    </row>
    <row r="14" spans="1:6" x14ac:dyDescent="0.3">
      <c r="A14" s="2" t="s">
        <v>878</v>
      </c>
      <c r="B14" s="2" t="s">
        <v>879</v>
      </c>
      <c r="C14" s="2" t="s">
        <v>923</v>
      </c>
      <c r="D14" s="2" t="s">
        <v>912</v>
      </c>
      <c r="E14" s="2" t="s">
        <v>924</v>
      </c>
      <c r="F14" s="2" t="s">
        <v>925</v>
      </c>
    </row>
    <row r="15" spans="1:6" x14ac:dyDescent="0.3">
      <c r="A15" s="2"/>
      <c r="B15" s="2"/>
      <c r="C15" s="2"/>
      <c r="D15" s="2"/>
      <c r="E15" s="2"/>
      <c r="F15" s="2"/>
    </row>
    <row r="16" spans="1:6" x14ac:dyDescent="0.3">
      <c r="A16" s="3" t="s">
        <v>926</v>
      </c>
      <c r="B16" s="2"/>
      <c r="C16" s="2"/>
      <c r="D16" s="2"/>
      <c r="E16" s="2"/>
      <c r="F16" s="2"/>
    </row>
    <row r="17" spans="1:6" x14ac:dyDescent="0.3">
      <c r="A17" s="4" t="s">
        <v>927</v>
      </c>
      <c r="B17" s="4" t="s">
        <v>928</v>
      </c>
      <c r="C17" s="4" t="s">
        <v>929</v>
      </c>
      <c r="D17" s="4" t="s">
        <v>930</v>
      </c>
      <c r="E17" s="2"/>
      <c r="F17" s="2"/>
    </row>
    <row r="18" spans="1:6" x14ac:dyDescent="0.3">
      <c r="A18" s="2" t="s">
        <v>931</v>
      </c>
      <c r="B18" s="2" t="s">
        <v>932</v>
      </c>
      <c r="C18" s="2" t="s">
        <v>933</v>
      </c>
      <c r="D18" s="2" t="s">
        <v>934</v>
      </c>
      <c r="E18" s="2"/>
      <c r="F18" s="2"/>
    </row>
    <row r="19" spans="1:6" x14ac:dyDescent="0.3">
      <c r="A19" s="2" t="s">
        <v>935</v>
      </c>
      <c r="B19" s="2" t="s">
        <v>936</v>
      </c>
      <c r="C19" s="2" t="s">
        <v>937</v>
      </c>
      <c r="D19" s="2" t="s">
        <v>938</v>
      </c>
      <c r="E19" s="2"/>
      <c r="F19" s="2"/>
    </row>
    <row r="20" spans="1:6" x14ac:dyDescent="0.3">
      <c r="A20" s="2" t="s">
        <v>939</v>
      </c>
      <c r="B20" s="2" t="s">
        <v>936</v>
      </c>
      <c r="C20" s="2" t="s">
        <v>940</v>
      </c>
      <c r="D20" s="2" t="s">
        <v>938</v>
      </c>
      <c r="E20" s="2"/>
      <c r="F20" s="2"/>
    </row>
    <row r="21" spans="1:6" x14ac:dyDescent="0.3">
      <c r="A21" s="2" t="s">
        <v>941</v>
      </c>
      <c r="B21" s="2" t="s">
        <v>942</v>
      </c>
      <c r="C21" s="2" t="s">
        <v>943</v>
      </c>
      <c r="D21" s="2" t="s">
        <v>944</v>
      </c>
      <c r="E21" s="2"/>
      <c r="F21" s="2"/>
    </row>
    <row r="22" spans="1:6" x14ac:dyDescent="0.3">
      <c r="A22" s="2" t="s">
        <v>945</v>
      </c>
      <c r="B22" s="2" t="s">
        <v>946</v>
      </c>
      <c r="C22" s="2" t="s">
        <v>947</v>
      </c>
      <c r="D22" s="2" t="s">
        <v>938</v>
      </c>
      <c r="E22" s="2"/>
      <c r="F22" s="2"/>
    </row>
    <row r="23" spans="1:6" x14ac:dyDescent="0.3">
      <c r="A23" s="2" t="s">
        <v>948</v>
      </c>
      <c r="B23" s="2" t="s">
        <v>949</v>
      </c>
      <c r="C23" s="2" t="s">
        <v>950</v>
      </c>
      <c r="D23" s="2" t="s">
        <v>938</v>
      </c>
      <c r="E23" s="2"/>
      <c r="F23" s="2"/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0983-B5CD-4787-8767-BE4A864481BB}">
  <dimension ref="A1:J24"/>
  <sheetViews>
    <sheetView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70.6640625" bestFit="1" customWidth="1"/>
    <col min="2" max="2" width="12.21875" bestFit="1" customWidth="1"/>
    <col min="3" max="3" width="10.109375" bestFit="1" customWidth="1"/>
    <col min="4" max="4" width="16.109375" bestFit="1" customWidth="1"/>
    <col min="5" max="5" width="17.5546875" bestFit="1" customWidth="1"/>
    <col min="6" max="6" width="15.6640625" bestFit="1" customWidth="1"/>
    <col min="7" max="7" width="15.77734375" bestFit="1" customWidth="1"/>
    <col min="8" max="8" width="13.6640625" bestFit="1" customWidth="1"/>
    <col min="9" max="9" width="15.88671875" bestFit="1" customWidth="1"/>
    <col min="10" max="10" width="17.5546875" bestFit="1" customWidth="1"/>
  </cols>
  <sheetData>
    <row r="1" spans="1:10" ht="18" x14ac:dyDescent="0.35">
      <c r="A1" s="1" t="s">
        <v>951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3" t="s">
        <v>952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3">
      <c r="A4" s="3" t="s">
        <v>953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4" t="s">
        <v>954</v>
      </c>
      <c r="B5" s="4" t="s">
        <v>955</v>
      </c>
      <c r="C5" s="4" t="s">
        <v>956</v>
      </c>
      <c r="D5" s="4" t="s">
        <v>957</v>
      </c>
      <c r="E5" s="4" t="s">
        <v>314</v>
      </c>
      <c r="F5" s="4" t="s">
        <v>470</v>
      </c>
      <c r="G5" s="4" t="s">
        <v>958</v>
      </c>
      <c r="H5" s="4" t="s">
        <v>417</v>
      </c>
      <c r="I5" s="4" t="s">
        <v>959</v>
      </c>
      <c r="J5" s="4" t="s">
        <v>273</v>
      </c>
    </row>
    <row r="6" spans="1:10" x14ac:dyDescent="0.3">
      <c r="A6" s="2" t="s">
        <v>960</v>
      </c>
      <c r="B6" s="8">
        <v>0.5</v>
      </c>
      <c r="C6" s="8">
        <v>0.3</v>
      </c>
      <c r="D6" s="8">
        <v>0.2</v>
      </c>
      <c r="E6" s="8">
        <f>B6*Premissas!C5*Premissas!C9*Premissas!C12/100*Premissas!C15/100+C6*Premissas!C5*Premissas!C10*Premissas!C13/100*Premissas!C16/100+D6*Premissas!C5*Premissas!C11*Premissas!C14/100*Premissas!C17/100</f>
        <v>5116.1925000000001</v>
      </c>
      <c r="F6" s="8">
        <f>(B6*Premissas!C5*Premissas!C9*Premissas!C12/100*Premissas!C15/100*Premissas!C18+C6*Premissas!C5*Premissas!C10*Premissas!C13/100*Premissas!C16/100*Premissas!C19+D6*Premissas!C5*Premissas!C11*Premissas!C14/100*Premissas!C17/100*Premissas!C20)/E6</f>
        <v>24.633663119595283</v>
      </c>
      <c r="G6" s="8">
        <f>E6*Premissas!C39/100*Premissas!C40</f>
        <v>1688.3435250000002</v>
      </c>
      <c r="H6" s="8">
        <f>G6*Premissas!C41/100</f>
        <v>1046.7729855</v>
      </c>
      <c r="I6" s="8">
        <f>H6*Premissas!C46*Premissas!C47/3.6</f>
        <v>3955.6388040949996</v>
      </c>
      <c r="J6" s="8">
        <f>E6/Calculos_Massa!B33</f>
        <v>2.5580962500000002</v>
      </c>
    </row>
    <row r="7" spans="1:10" x14ac:dyDescent="0.3">
      <c r="A7" s="2" t="s">
        <v>961</v>
      </c>
      <c r="B7" s="8">
        <v>0.6</v>
      </c>
      <c r="C7" s="8">
        <v>0.2</v>
      </c>
      <c r="D7" s="8">
        <v>0.2</v>
      </c>
      <c r="E7" s="8">
        <f>B7*Premissas!C5*Premissas!C9*Premissas!C12/100*Premissas!C15/100+C7*Premissas!C5*Premissas!C10*Premissas!C13/100*Premissas!C16/100+D7*Premissas!C5*Premissas!C11*Premissas!C14/100*Premissas!C17/100</f>
        <v>5219.5950000000003</v>
      </c>
      <c r="F7" s="8">
        <f>(B7*Premissas!C5*Premissas!C9*Premissas!C12/100*Premissas!C15/100*Premissas!C18+C7*Premissas!C5*Premissas!C10*Premissas!C13/100*Premissas!C16/100*Premissas!C19+D7*Premissas!C5*Premissas!C11*Premissas!C14/100*Premissas!C17/100*Premissas!C20)/E7</f>
        <v>23.885143387561676</v>
      </c>
      <c r="G7" s="8">
        <f>E7*Premissas!C39/100*Premissas!C40</f>
        <v>1722.4663500000004</v>
      </c>
      <c r="H7" s="8">
        <f>G7*Premissas!C41/100</f>
        <v>1067.9291370000001</v>
      </c>
      <c r="I7" s="8">
        <f>H7*Premissas!C46*Premissas!C47/3.6</f>
        <v>4035.5855499299996</v>
      </c>
      <c r="J7" s="8">
        <f>E7/Calculos_Massa!B33</f>
        <v>2.6097975</v>
      </c>
    </row>
    <row r="8" spans="1:10" x14ac:dyDescent="0.3">
      <c r="A8" s="2" t="s">
        <v>962</v>
      </c>
      <c r="B8" s="8">
        <v>0.4</v>
      </c>
      <c r="C8" s="8">
        <v>0.2</v>
      </c>
      <c r="D8" s="8">
        <v>0.4</v>
      </c>
      <c r="E8" s="8">
        <f>B8*Premissas!C5*Premissas!C9*Premissas!C12/100*Premissas!C15/100+C8*Premissas!C5*Premissas!C10*Premissas!C13/100*Premissas!C16/100+D8*Premissas!C5*Premissas!C11*Premissas!C14/100*Premissas!C17/100</f>
        <v>8325.4950000000008</v>
      </c>
      <c r="F8" s="8">
        <f>(B8*Premissas!C5*Premissas!C9*Premissas!C12/100*Premissas!C15/100*Premissas!C18+C8*Premissas!C5*Premissas!C10*Premissas!C13/100*Premissas!C16/100*Premissas!C19+D8*Premissas!C5*Premissas!C11*Premissas!C14/100*Premissas!C17/100*Premissas!C20)/E8</f>
        <v>27.392722594872737</v>
      </c>
      <c r="G8" s="8">
        <f>E8*Premissas!C39/100*Premissas!C40</f>
        <v>2747.4133499999998</v>
      </c>
      <c r="H8" s="8">
        <f>G8*Premissas!C41/100</f>
        <v>1703.3962769999998</v>
      </c>
      <c r="I8" s="8">
        <f>H8*Premissas!C46*Premissas!C47/3.6</f>
        <v>6436.9452645299989</v>
      </c>
      <c r="J8" s="8">
        <f>E8/Calculos_Massa!B33</f>
        <v>4.1627475</v>
      </c>
    </row>
    <row r="9" spans="1:10" x14ac:dyDescent="0.3">
      <c r="A9" s="2" t="s">
        <v>963</v>
      </c>
      <c r="B9" s="8">
        <v>0.4</v>
      </c>
      <c r="C9" s="8">
        <v>0.4</v>
      </c>
      <c r="D9" s="8">
        <v>0.2</v>
      </c>
      <c r="E9" s="8">
        <f>B9*Premissas!C5*Premissas!C9*Premissas!C12/100*Premissas!C15/100+C9*Premissas!C5*Premissas!C10*Premissas!C13/100*Premissas!C16/100+D9*Premissas!C5*Premissas!C11*Premissas!C14/100*Premissas!C17/100</f>
        <v>5012.79</v>
      </c>
      <c r="F9" s="8">
        <f>(B9*Premissas!C5*Premissas!C9*Premissas!C12/100*Premissas!C15/100*Premissas!C18+C9*Premissas!C5*Premissas!C10*Premissas!C13/100*Premissas!C16/100*Premissas!C19+D9*Premissas!C5*Premissas!C11*Premissas!C14/100*Premissas!C17/100*Premissas!C20)/E9</f>
        <v>25.413063383864078</v>
      </c>
      <c r="G9" s="8">
        <f>E9*Premissas!C39/100*Premissas!C40</f>
        <v>1654.2207000000001</v>
      </c>
      <c r="H9" s="8">
        <f>G9*Premissas!C41/100</f>
        <v>1025.6168340000002</v>
      </c>
      <c r="I9" s="8">
        <f>H9*Premissas!C46*Premissas!C47/3.6</f>
        <v>3875.6920582599996</v>
      </c>
      <c r="J9" s="8">
        <f>E9/Calculos_Massa!B33</f>
        <v>2.5063949999999999</v>
      </c>
    </row>
    <row r="10" spans="1:10" x14ac:dyDescent="0.3">
      <c r="A10" s="2" t="s">
        <v>964</v>
      </c>
      <c r="B10" s="8">
        <v>0.3</v>
      </c>
      <c r="C10" s="8">
        <v>0.3</v>
      </c>
      <c r="D10" s="8">
        <v>0.4</v>
      </c>
      <c r="E10" s="8">
        <f>B10*Premissas!C5*Premissas!C9*Premissas!C12/100*Premissas!C15/100+C10*Premissas!C5*Premissas!C10*Premissas!C13/100*Premissas!C16/100+D10*Premissas!C5*Premissas!C11*Premissas!C14/100*Premissas!C17/100</f>
        <v>8222.0925000000007</v>
      </c>
      <c r="F10" s="8">
        <f>(B10*Premissas!C5*Premissas!C9*Premissas!C12/100*Premissas!C15/100*Premissas!C18+C10*Premissas!C5*Premissas!C10*Premissas!C13/100*Premissas!C16/100*Premissas!C19+D10*Premissas!C5*Premissas!C11*Premissas!C14/100*Premissas!C17/100*Premissas!C20)/E10</f>
        <v>27.902600524136648</v>
      </c>
      <c r="G10" s="8">
        <f>E10*Premissas!C39/100*Premissas!C40</f>
        <v>2713.2905249999999</v>
      </c>
      <c r="H10" s="8">
        <f>G10*Premissas!C41/100</f>
        <v>1682.2401254999997</v>
      </c>
      <c r="I10" s="8">
        <f>H10*Premissas!C46*Premissas!C47/3.6</f>
        <v>6356.9985186949989</v>
      </c>
      <c r="J10" s="8">
        <f>E10/Calculos_Massa!B33</f>
        <v>4.1110462500000002</v>
      </c>
    </row>
    <row r="11" spans="1:1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3" t="s">
        <v>965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4" t="s">
        <v>966</v>
      </c>
      <c r="B14" s="4" t="s">
        <v>967</v>
      </c>
      <c r="C14" s="4" t="s">
        <v>968</v>
      </c>
      <c r="D14" s="4" t="s">
        <v>958</v>
      </c>
      <c r="E14" s="4" t="s">
        <v>273</v>
      </c>
      <c r="F14" s="2"/>
      <c r="G14" s="2"/>
      <c r="H14" s="2"/>
      <c r="I14" s="2"/>
      <c r="J14" s="2"/>
    </row>
    <row r="15" spans="1:10" x14ac:dyDescent="0.3">
      <c r="A15" s="2">
        <v>15</v>
      </c>
      <c r="B15" s="8">
        <f>Premissas!C5*A15</f>
        <v>1500</v>
      </c>
      <c r="C15" s="8">
        <v>52.5</v>
      </c>
      <c r="D15" s="8">
        <f>Calculos_Massa!B19*C15/100*Premissas!C40</f>
        <v>1611.6006374999999</v>
      </c>
      <c r="E15" s="8">
        <f>Calculos_Massa!B19/B15</f>
        <v>3.4107950000000002</v>
      </c>
      <c r="F15" s="2"/>
      <c r="G15" s="2"/>
      <c r="H15" s="2"/>
      <c r="I15" s="2"/>
      <c r="J15" s="2"/>
    </row>
    <row r="16" spans="1:10" x14ac:dyDescent="0.3">
      <c r="A16" s="2">
        <v>20</v>
      </c>
      <c r="B16" s="8">
        <f>Premissas!C5*A16</f>
        <v>2000</v>
      </c>
      <c r="C16" s="8">
        <v>60</v>
      </c>
      <c r="D16" s="8">
        <f>Calculos_Massa!B19*C16/100*Premissas!C40</f>
        <v>1841.8292999999999</v>
      </c>
      <c r="E16" s="8">
        <f>Calculos_Massa!B19/B16</f>
        <v>2.5580962500000002</v>
      </c>
      <c r="F16" s="2"/>
      <c r="G16" s="2"/>
      <c r="H16" s="2"/>
      <c r="I16" s="2"/>
      <c r="J16" s="2"/>
    </row>
    <row r="17" spans="1:10" x14ac:dyDescent="0.3">
      <c r="A17" s="2">
        <v>25</v>
      </c>
      <c r="B17" s="8">
        <f>Premissas!C5*A17</f>
        <v>2500</v>
      </c>
      <c r="C17" s="8">
        <v>67.5</v>
      </c>
      <c r="D17" s="8">
        <f>Calculos_Massa!B19*C17/100*Premissas!C40</f>
        <v>2072.0579625</v>
      </c>
      <c r="E17" s="8">
        <f>Calculos_Massa!B19/B17</f>
        <v>2.0464769999999999</v>
      </c>
      <c r="F17" s="2"/>
      <c r="G17" s="2"/>
      <c r="H17" s="2"/>
      <c r="I17" s="2"/>
      <c r="J17" s="2"/>
    </row>
    <row r="18" spans="1:10" x14ac:dyDescent="0.3">
      <c r="A18" s="2">
        <v>30</v>
      </c>
      <c r="B18" s="8">
        <f>Premissas!C5*A18</f>
        <v>3000</v>
      </c>
      <c r="C18" s="8">
        <v>75</v>
      </c>
      <c r="D18" s="8">
        <f>Calculos_Massa!B19*C18/100*Premissas!C40</f>
        <v>2302.2866249999997</v>
      </c>
      <c r="E18" s="8">
        <f>Calculos_Massa!B19/B18</f>
        <v>1.7053975000000001</v>
      </c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3" t="s">
        <v>969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4" t="s">
        <v>970</v>
      </c>
      <c r="B22" s="4" t="s">
        <v>971</v>
      </c>
      <c r="C22" s="4" t="s">
        <v>968</v>
      </c>
      <c r="D22" s="4" t="s">
        <v>972</v>
      </c>
      <c r="E22" s="4" t="s">
        <v>958</v>
      </c>
      <c r="F22" s="4" t="s">
        <v>973</v>
      </c>
      <c r="G22" s="2"/>
      <c r="H22" s="2"/>
      <c r="I22" s="2"/>
      <c r="J22" s="2"/>
    </row>
    <row r="23" spans="1:10" x14ac:dyDescent="0.3">
      <c r="A23" s="2" t="s">
        <v>124</v>
      </c>
      <c r="B23" s="8">
        <v>35</v>
      </c>
      <c r="C23" s="8">
        <v>55</v>
      </c>
      <c r="D23" s="8">
        <v>0.6</v>
      </c>
      <c r="E23" s="8">
        <f>Calculos_Massa!B19*C23/100*D23</f>
        <v>1688.3435250000002</v>
      </c>
      <c r="F23" s="8">
        <f>Calculos_Massa!B11*Premissas!C44*(B23-Premissas!C36)/1000</f>
        <v>6136.2</v>
      </c>
      <c r="G23" s="2"/>
      <c r="H23" s="2"/>
      <c r="I23" s="2"/>
      <c r="J23" s="2"/>
    </row>
    <row r="24" spans="1:10" x14ac:dyDescent="0.3">
      <c r="A24" s="2" t="s">
        <v>974</v>
      </c>
      <c r="B24" s="8">
        <v>55</v>
      </c>
      <c r="C24" s="8">
        <v>65</v>
      </c>
      <c r="D24" s="8">
        <v>0.65</v>
      </c>
      <c r="E24" s="8">
        <f>Calculos_Massa!B19*C24/100*D24</f>
        <v>2161.5913312500002</v>
      </c>
      <c r="F24" s="8">
        <f>Calculos_Massa!B11*Premissas!C44*(B24-Premissas!C36)/1000</f>
        <v>14317.8</v>
      </c>
      <c r="G24" s="2"/>
      <c r="H24" s="2"/>
      <c r="I24" s="2"/>
      <c r="J24" s="2"/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5E34-55B2-47A6-AC9E-23CA13CA817F}">
  <dimension ref="A1:E24"/>
  <sheetViews>
    <sheetView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58.44140625" bestFit="1" customWidth="1"/>
    <col min="2" max="2" width="22.21875" bestFit="1" customWidth="1"/>
    <col min="3" max="3" width="12" bestFit="1" customWidth="1"/>
    <col min="4" max="4" width="13.5546875" bestFit="1" customWidth="1"/>
    <col min="5" max="5" width="25.77734375" bestFit="1" customWidth="1"/>
  </cols>
  <sheetData>
    <row r="1" spans="1:5" ht="18" x14ac:dyDescent="0.35">
      <c r="A1" s="1" t="s">
        <v>975</v>
      </c>
      <c r="B1" s="2"/>
      <c r="C1" s="2"/>
      <c r="D1" s="2"/>
      <c r="E1" s="2"/>
    </row>
    <row r="2" spans="1:5" x14ac:dyDescent="0.3">
      <c r="A2" s="3" t="s">
        <v>976</v>
      </c>
      <c r="B2" s="2"/>
      <c r="C2" s="2"/>
      <c r="D2" s="2"/>
      <c r="E2" s="2"/>
    </row>
    <row r="3" spans="1:5" x14ac:dyDescent="0.3">
      <c r="A3" s="2"/>
      <c r="B3" s="2"/>
      <c r="C3" s="2"/>
      <c r="D3" s="2"/>
      <c r="E3" s="2"/>
    </row>
    <row r="4" spans="1:5" x14ac:dyDescent="0.3">
      <c r="A4" s="4" t="s">
        <v>772</v>
      </c>
      <c r="B4" s="4" t="s">
        <v>773</v>
      </c>
      <c r="C4" s="4" t="s">
        <v>977</v>
      </c>
      <c r="D4" s="4" t="s">
        <v>978</v>
      </c>
      <c r="E4" s="4" t="s">
        <v>293</v>
      </c>
    </row>
    <row r="5" spans="1:5" x14ac:dyDescent="0.3">
      <c r="A5" s="2" t="s">
        <v>777</v>
      </c>
      <c r="B5" s="2" t="s">
        <v>979</v>
      </c>
      <c r="C5" s="2">
        <f>Dimensionamento!H5</f>
        <v>60</v>
      </c>
      <c r="D5" s="16">
        <f>80000</f>
        <v>80000</v>
      </c>
      <c r="E5" s="2" t="s">
        <v>980</v>
      </c>
    </row>
    <row r="6" spans="1:5" x14ac:dyDescent="0.3">
      <c r="A6" s="2" t="s">
        <v>822</v>
      </c>
      <c r="B6" s="2" t="s">
        <v>981</v>
      </c>
      <c r="C6" s="2">
        <f>Dimensionamento!H26</f>
        <v>0.75</v>
      </c>
      <c r="D6" s="16">
        <f>15000</f>
        <v>15000</v>
      </c>
      <c r="E6" s="2" t="s">
        <v>982</v>
      </c>
    </row>
    <row r="7" spans="1:5" x14ac:dyDescent="0.3">
      <c r="A7" s="2" t="s">
        <v>807</v>
      </c>
      <c r="B7" s="2" t="s">
        <v>983</v>
      </c>
      <c r="C7" s="2">
        <f>Dimensionamento!H21</f>
        <v>3.1196175687551251</v>
      </c>
      <c r="D7" s="16">
        <f>50000</f>
        <v>50000</v>
      </c>
      <c r="E7" s="2" t="s">
        <v>984</v>
      </c>
    </row>
    <row r="8" spans="1:5" x14ac:dyDescent="0.3">
      <c r="A8" s="2" t="s">
        <v>787</v>
      </c>
      <c r="B8" s="2" t="s">
        <v>985</v>
      </c>
      <c r="C8" s="2">
        <f>Dimensionamento!H9</f>
        <v>2300</v>
      </c>
      <c r="D8" s="16">
        <f>2500000</f>
        <v>2500000</v>
      </c>
      <c r="E8" s="2" t="s">
        <v>986</v>
      </c>
    </row>
    <row r="9" spans="1:5" x14ac:dyDescent="0.3">
      <c r="A9" s="2" t="s">
        <v>836</v>
      </c>
      <c r="B9" s="2" t="s">
        <v>987</v>
      </c>
      <c r="C9" s="2">
        <f>Dimensionamento!H27</f>
        <v>0</v>
      </c>
      <c r="D9" s="16">
        <f>15000</f>
        <v>15000</v>
      </c>
      <c r="E9" s="2" t="s">
        <v>982</v>
      </c>
    </row>
    <row r="10" spans="1:5" x14ac:dyDescent="0.3">
      <c r="A10" s="2" t="s">
        <v>840</v>
      </c>
      <c r="B10" s="2" t="s">
        <v>988</v>
      </c>
      <c r="C10" s="2">
        <f>Dimensionamento!E29</f>
        <v>10</v>
      </c>
      <c r="D10" s="16">
        <f>300000</f>
        <v>300000</v>
      </c>
      <c r="E10" s="2" t="s">
        <v>989</v>
      </c>
    </row>
    <row r="11" spans="1:5" x14ac:dyDescent="0.3">
      <c r="A11" s="2" t="s">
        <v>848</v>
      </c>
      <c r="B11" s="2" t="s">
        <v>990</v>
      </c>
      <c r="C11" s="2">
        <f>Dimensionamento!H35</f>
        <v>0</v>
      </c>
      <c r="D11" s="16">
        <f>600000</f>
        <v>600000</v>
      </c>
      <c r="E11" s="2" t="s">
        <v>911</v>
      </c>
    </row>
    <row r="12" spans="1:5" x14ac:dyDescent="0.3">
      <c r="A12" s="2" t="s">
        <v>859</v>
      </c>
      <c r="B12" s="2" t="s">
        <v>991</v>
      </c>
      <c r="C12" s="2">
        <f>Dimensionamento!E37</f>
        <v>3</v>
      </c>
      <c r="D12" s="16">
        <f>150000</f>
        <v>150000</v>
      </c>
      <c r="E12" s="2" t="s">
        <v>992</v>
      </c>
    </row>
    <row r="13" spans="1:5" x14ac:dyDescent="0.3">
      <c r="A13" s="2" t="s">
        <v>864</v>
      </c>
      <c r="B13" s="2" t="s">
        <v>993</v>
      </c>
      <c r="C13" s="2">
        <f ca="1">Dimensionamento!E40</f>
        <v>0</v>
      </c>
      <c r="D13" s="16">
        <f>40000</f>
        <v>40000</v>
      </c>
      <c r="E13" s="2" t="s">
        <v>994</v>
      </c>
    </row>
    <row r="14" spans="1:5" x14ac:dyDescent="0.3">
      <c r="A14" s="2" t="s">
        <v>878</v>
      </c>
      <c r="B14" s="2" t="s">
        <v>995</v>
      </c>
      <c r="C14" s="2">
        <f>Dimensionamento!E43</f>
        <v>0</v>
      </c>
      <c r="D14" s="16">
        <f>5000</f>
        <v>5000</v>
      </c>
      <c r="E14" s="2" t="s">
        <v>923</v>
      </c>
    </row>
    <row r="15" spans="1:5" x14ac:dyDescent="0.3">
      <c r="A15" s="2" t="s">
        <v>15</v>
      </c>
      <c r="B15" s="2" t="s">
        <v>996</v>
      </c>
      <c r="C15" s="2" t="s">
        <v>15</v>
      </c>
      <c r="D15" s="16">
        <f>400000</f>
        <v>400000</v>
      </c>
      <c r="E15" s="2" t="s">
        <v>997</v>
      </c>
    </row>
    <row r="16" spans="1:5" x14ac:dyDescent="0.3">
      <c r="A16" s="2" t="s">
        <v>15</v>
      </c>
      <c r="B16" s="2" t="s">
        <v>998</v>
      </c>
      <c r="C16" s="2" t="s">
        <v>15</v>
      </c>
      <c r="D16" s="16">
        <f>200000</f>
        <v>200000</v>
      </c>
      <c r="E16" s="2" t="s">
        <v>999</v>
      </c>
    </row>
    <row r="17" spans="1:5" x14ac:dyDescent="0.3">
      <c r="A17" s="2"/>
      <c r="B17" s="2"/>
      <c r="C17" s="2"/>
      <c r="D17" s="2"/>
      <c r="E17" s="2"/>
    </row>
    <row r="18" spans="1:5" x14ac:dyDescent="0.3">
      <c r="A18" s="6" t="s">
        <v>1000</v>
      </c>
      <c r="B18" s="2"/>
      <c r="C18" s="2"/>
      <c r="D18" s="17">
        <f>SUM(D5:D16)</f>
        <v>4355000</v>
      </c>
      <c r="E18" s="2"/>
    </row>
    <row r="19" spans="1:5" x14ac:dyDescent="0.3">
      <c r="A19" s="2"/>
      <c r="B19" s="2"/>
      <c r="C19" s="2"/>
      <c r="D19" s="2"/>
      <c r="E19" s="2"/>
    </row>
    <row r="20" spans="1:5" x14ac:dyDescent="0.3">
      <c r="A20" s="2" t="s">
        <v>1001</v>
      </c>
      <c r="B20" s="2" t="s">
        <v>1002</v>
      </c>
      <c r="C20" s="2"/>
      <c r="D20" s="2">
        <v>3.6</v>
      </c>
      <c r="E20" s="2" t="s">
        <v>1003</v>
      </c>
    </row>
    <row r="21" spans="1:5" x14ac:dyDescent="0.3">
      <c r="A21" s="6" t="s">
        <v>1004</v>
      </c>
      <c r="B21" s="2"/>
      <c r="C21" s="2"/>
      <c r="D21" s="16">
        <f>D18*D20</f>
        <v>15678000</v>
      </c>
      <c r="E21" s="2"/>
    </row>
    <row r="22" spans="1:5" x14ac:dyDescent="0.3">
      <c r="A22" s="2" t="s">
        <v>1005</v>
      </c>
      <c r="B22" s="2"/>
      <c r="C22" s="2"/>
      <c r="D22" s="16">
        <f>D21*0.15</f>
        <v>2351700</v>
      </c>
      <c r="E22" s="2"/>
    </row>
    <row r="23" spans="1:5" x14ac:dyDescent="0.3">
      <c r="A23" s="2"/>
      <c r="B23" s="2"/>
      <c r="C23" s="2"/>
      <c r="D23" s="2"/>
      <c r="E23" s="2"/>
    </row>
    <row r="24" spans="1:5" x14ac:dyDescent="0.3">
      <c r="A24" s="6" t="s">
        <v>1006</v>
      </c>
      <c r="B24" s="2"/>
      <c r="C24" s="2"/>
      <c r="D24" s="17">
        <f>D21+D22</f>
        <v>18029700</v>
      </c>
      <c r="E24" s="2"/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3406-FF49-450D-87F0-23FAA0824A2E}">
  <dimension ref="A1:F24"/>
  <sheetViews>
    <sheetView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37" bestFit="1" customWidth="1"/>
    <col min="2" max="2" width="12" bestFit="1" customWidth="1"/>
    <col min="3" max="3" width="11" bestFit="1" customWidth="1"/>
    <col min="4" max="4" width="12.77734375" bestFit="1" customWidth="1"/>
    <col min="5" max="5" width="14.88671875" bestFit="1" customWidth="1"/>
    <col min="6" max="6" width="25.21875" bestFit="1" customWidth="1"/>
  </cols>
  <sheetData>
    <row r="1" spans="1:6" ht="18" x14ac:dyDescent="0.35">
      <c r="A1" s="1" t="s">
        <v>1007</v>
      </c>
      <c r="B1" s="2"/>
      <c r="C1" s="2"/>
      <c r="D1" s="2"/>
      <c r="E1" s="2"/>
      <c r="F1" s="2"/>
    </row>
    <row r="2" spans="1:6" x14ac:dyDescent="0.3">
      <c r="A2" s="3" t="s">
        <v>1008</v>
      </c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4" t="s">
        <v>659</v>
      </c>
      <c r="B4" s="4" t="s">
        <v>645</v>
      </c>
      <c r="C4" s="4" t="s">
        <v>5</v>
      </c>
      <c r="D4" s="4" t="s">
        <v>1009</v>
      </c>
      <c r="E4" s="4" t="s">
        <v>1010</v>
      </c>
      <c r="F4" s="4" t="s">
        <v>1011</v>
      </c>
    </row>
    <row r="5" spans="1:6" x14ac:dyDescent="0.3">
      <c r="A5" s="2" t="s">
        <v>1012</v>
      </c>
      <c r="B5" s="2">
        <f>4</f>
        <v>4</v>
      </c>
      <c r="C5" s="2" t="s">
        <v>1013</v>
      </c>
      <c r="D5" s="2">
        <f>120000</f>
        <v>120000</v>
      </c>
      <c r="E5" s="16">
        <f>B5*D5</f>
        <v>480000</v>
      </c>
      <c r="F5" s="2" t="s">
        <v>1014</v>
      </c>
    </row>
    <row r="6" spans="1:6" x14ac:dyDescent="0.3">
      <c r="A6" s="2" t="s">
        <v>1015</v>
      </c>
      <c r="B6" s="2">
        <f>100*365</f>
        <v>36500</v>
      </c>
      <c r="C6" s="2" t="s">
        <v>1016</v>
      </c>
      <c r="D6" s="2">
        <f>4</f>
        <v>4</v>
      </c>
      <c r="E6" s="16">
        <f>B6*D6</f>
        <v>146000</v>
      </c>
      <c r="F6" s="2" t="s">
        <v>1017</v>
      </c>
    </row>
    <row r="7" spans="1:6" x14ac:dyDescent="0.3">
      <c r="A7" s="2" t="s">
        <v>920</v>
      </c>
      <c r="B7" s="2">
        <f>16*365</f>
        <v>5840</v>
      </c>
      <c r="C7" s="2" t="s">
        <v>1016</v>
      </c>
      <c r="D7" s="2">
        <f>15</f>
        <v>15</v>
      </c>
      <c r="E7" s="16">
        <f>B7*D7</f>
        <v>87600</v>
      </c>
      <c r="F7" s="2" t="s">
        <v>1018</v>
      </c>
    </row>
    <row r="8" spans="1:6" x14ac:dyDescent="0.3">
      <c r="A8" s="2" t="s">
        <v>1019</v>
      </c>
      <c r="B8" s="2">
        <f>2.6*365</f>
        <v>949</v>
      </c>
      <c r="C8" s="2" t="s">
        <v>1020</v>
      </c>
      <c r="D8" s="2">
        <f>10</f>
        <v>10</v>
      </c>
      <c r="E8" s="16">
        <f>B8*D8</f>
        <v>9490</v>
      </c>
      <c r="F8" s="2" t="s">
        <v>1021</v>
      </c>
    </row>
    <row r="9" spans="1:6" x14ac:dyDescent="0.3">
      <c r="A9" s="2" t="s">
        <v>1022</v>
      </c>
      <c r="B9" s="2">
        <f>1</f>
        <v>1</v>
      </c>
      <c r="C9" s="2" t="s">
        <v>15</v>
      </c>
      <c r="D9" s="2">
        <f>CAPEX!D21*0.03</f>
        <v>470340</v>
      </c>
      <c r="E9" s="16">
        <f>D9</f>
        <v>470340</v>
      </c>
      <c r="F9" s="2" t="s">
        <v>1023</v>
      </c>
    </row>
    <row r="10" spans="1:6" x14ac:dyDescent="0.3">
      <c r="A10" s="2" t="s">
        <v>766</v>
      </c>
      <c r="B10" s="2">
        <f>Calculos_Massa!B37*365</f>
        <v>1345274.7056249999</v>
      </c>
      <c r="C10" s="2" t="s">
        <v>1024</v>
      </c>
      <c r="D10" s="2">
        <f>0.3</f>
        <v>0.3</v>
      </c>
      <c r="E10" s="16">
        <f>B10*D10</f>
        <v>403582.41168749996</v>
      </c>
      <c r="F10" s="2" t="s">
        <v>1025</v>
      </c>
    </row>
    <row r="11" spans="1:6" x14ac:dyDescent="0.3">
      <c r="A11" s="2" t="s">
        <v>1026</v>
      </c>
      <c r="B11" s="2">
        <f>1</f>
        <v>1</v>
      </c>
      <c r="C11" s="2" t="s">
        <v>15</v>
      </c>
      <c r="D11" s="2">
        <f>CAPEX!D21*0.02</f>
        <v>313560</v>
      </c>
      <c r="E11" s="16">
        <f>D11</f>
        <v>313560</v>
      </c>
      <c r="F11" s="2" t="s">
        <v>1027</v>
      </c>
    </row>
    <row r="12" spans="1:6" x14ac:dyDescent="0.3">
      <c r="A12" s="2"/>
      <c r="B12" s="2"/>
      <c r="C12" s="2"/>
      <c r="D12" s="2"/>
      <c r="E12" s="2"/>
      <c r="F12" s="2"/>
    </row>
    <row r="13" spans="1:6" x14ac:dyDescent="0.3">
      <c r="A13" s="6" t="s">
        <v>1028</v>
      </c>
      <c r="B13" s="2"/>
      <c r="C13" s="2"/>
      <c r="D13" s="2"/>
      <c r="E13" s="17">
        <f>SUM(E5:E11)</f>
        <v>1910572.4116874998</v>
      </c>
      <c r="F13" s="2"/>
    </row>
    <row r="14" spans="1:6" x14ac:dyDescent="0.3">
      <c r="A14" s="2"/>
      <c r="B14" s="2"/>
      <c r="C14" s="2"/>
      <c r="D14" s="2"/>
      <c r="E14" s="2"/>
      <c r="F14" s="2"/>
    </row>
    <row r="15" spans="1:6" x14ac:dyDescent="0.3">
      <c r="A15" s="2"/>
      <c r="B15" s="2"/>
      <c r="C15" s="2"/>
      <c r="D15" s="2"/>
      <c r="E15" s="2"/>
      <c r="F15" s="2"/>
    </row>
    <row r="16" spans="1:6" x14ac:dyDescent="0.3">
      <c r="A16" s="3" t="s">
        <v>1029</v>
      </c>
      <c r="B16" s="2"/>
      <c r="C16" s="2"/>
      <c r="D16" s="2"/>
      <c r="E16" s="2"/>
      <c r="F16" s="2"/>
    </row>
    <row r="17" spans="1:6" x14ac:dyDescent="0.3">
      <c r="A17" s="4" t="s">
        <v>1030</v>
      </c>
      <c r="B17" s="4" t="s">
        <v>645</v>
      </c>
      <c r="C17" s="4" t="s">
        <v>5</v>
      </c>
      <c r="D17" s="4" t="s">
        <v>1031</v>
      </c>
      <c r="E17" s="4" t="s">
        <v>1032</v>
      </c>
      <c r="F17" s="2"/>
    </row>
    <row r="18" spans="1:6" x14ac:dyDescent="0.3">
      <c r="A18" s="2" t="s">
        <v>1033</v>
      </c>
      <c r="B18" s="2">
        <f>Balanco_Energia!B15*365</f>
        <v>1371617.7553199411</v>
      </c>
      <c r="C18" s="2" t="s">
        <v>1034</v>
      </c>
      <c r="D18" s="2">
        <f>Premissas!C51</f>
        <v>0.75</v>
      </c>
      <c r="E18" s="16">
        <f>B18*D18</f>
        <v>1028713.3164899559</v>
      </c>
      <c r="F18" s="2"/>
    </row>
    <row r="19" spans="1:6" x14ac:dyDescent="0.3">
      <c r="A19" s="2" t="s">
        <v>1035</v>
      </c>
      <c r="B19" s="2">
        <f>Secagem_Digestato!B12*365</f>
        <v>5381098.8224999998</v>
      </c>
      <c r="C19" s="2" t="s">
        <v>1016</v>
      </c>
      <c r="D19" s="2">
        <v>0.05</v>
      </c>
      <c r="E19" s="16">
        <f>B19*D19</f>
        <v>269054.94112500001</v>
      </c>
      <c r="F19" s="2"/>
    </row>
    <row r="20" spans="1:6" x14ac:dyDescent="0.3">
      <c r="A20" s="2" t="s">
        <v>1036</v>
      </c>
      <c r="B20" s="2">
        <f>Calculos_Massa!B23*365*0.000714</f>
        <v>272.79950775115498</v>
      </c>
      <c r="C20" s="2" t="s">
        <v>1037</v>
      </c>
      <c r="D20" s="2">
        <v>200</v>
      </c>
      <c r="E20" s="16">
        <f>B20*D20</f>
        <v>54559.901550230992</v>
      </c>
      <c r="F20" s="2"/>
    </row>
    <row r="21" spans="1:6" x14ac:dyDescent="0.3">
      <c r="A21" s="2"/>
      <c r="B21" s="2"/>
      <c r="C21" s="2"/>
      <c r="D21" s="2"/>
      <c r="E21" s="2"/>
      <c r="F21" s="2"/>
    </row>
    <row r="22" spans="1:6" x14ac:dyDescent="0.3">
      <c r="A22" s="6" t="s">
        <v>1038</v>
      </c>
      <c r="B22" s="2"/>
      <c r="C22" s="2"/>
      <c r="D22" s="2"/>
      <c r="E22" s="17">
        <f>SUM(E18:E20)</f>
        <v>1352328.1591651868</v>
      </c>
      <c r="F22" s="2"/>
    </row>
    <row r="23" spans="1:6" x14ac:dyDescent="0.3">
      <c r="A23" s="2"/>
      <c r="B23" s="2"/>
      <c r="C23" s="2"/>
      <c r="D23" s="2"/>
      <c r="E23" s="2"/>
      <c r="F23" s="2"/>
    </row>
    <row r="24" spans="1:6" x14ac:dyDescent="0.3">
      <c r="A24" s="6" t="s">
        <v>1039</v>
      </c>
      <c r="B24" s="2"/>
      <c r="C24" s="2"/>
      <c r="D24" s="2"/>
      <c r="E24" s="17">
        <f>E22-E13</f>
        <v>-558244.25252231304</v>
      </c>
      <c r="F24" s="2"/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0397-17FC-4E22-A95C-0DFE17A47565}">
  <dimension ref="A1:G25"/>
  <sheetViews>
    <sheetView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51" bestFit="1" customWidth="1"/>
    <col min="2" max="2" width="12.109375" bestFit="1" customWidth="1"/>
    <col min="3" max="4" width="11.44140625" bestFit="1" customWidth="1"/>
    <col min="5" max="6" width="11.109375" bestFit="1" customWidth="1"/>
    <col min="7" max="7" width="13.21875" bestFit="1" customWidth="1"/>
  </cols>
  <sheetData>
    <row r="1" spans="1:7" ht="18" x14ac:dyDescent="0.35">
      <c r="A1" s="1" t="s">
        <v>1040</v>
      </c>
      <c r="B1" s="2"/>
      <c r="C1" s="2"/>
      <c r="D1" s="2"/>
      <c r="E1" s="2"/>
      <c r="F1" s="2"/>
      <c r="G1" s="2"/>
    </row>
    <row r="2" spans="1:7" x14ac:dyDescent="0.3">
      <c r="A2" s="3" t="s">
        <v>1041</v>
      </c>
      <c r="B2" s="2"/>
      <c r="C2" s="2"/>
      <c r="D2" s="2"/>
      <c r="E2" s="2"/>
      <c r="F2" s="2"/>
      <c r="G2" s="2"/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4" t="s">
        <v>1042</v>
      </c>
      <c r="B4" s="4" t="s">
        <v>1043</v>
      </c>
      <c r="C4" s="4" t="s">
        <v>1030</v>
      </c>
      <c r="D4" s="4" t="s">
        <v>1044</v>
      </c>
      <c r="E4" s="4" t="s">
        <v>1045</v>
      </c>
      <c r="F4" s="4" t="s">
        <v>1046</v>
      </c>
      <c r="G4" s="4" t="s">
        <v>1047</v>
      </c>
    </row>
    <row r="5" spans="1:7" x14ac:dyDescent="0.3">
      <c r="A5" s="2">
        <v>0</v>
      </c>
      <c r="B5" s="16">
        <f>-CAPEX!D24</f>
        <v>-18029700</v>
      </c>
      <c r="C5" s="16">
        <v>0</v>
      </c>
      <c r="D5" s="16">
        <v>0</v>
      </c>
      <c r="E5" s="16">
        <f>B5+C5-D5</f>
        <v>-18029700</v>
      </c>
      <c r="F5" s="16">
        <f>E5</f>
        <v>-18029700</v>
      </c>
      <c r="G5" s="16">
        <f>F5</f>
        <v>-18029700</v>
      </c>
    </row>
    <row r="6" spans="1:7" x14ac:dyDescent="0.3">
      <c r="A6" s="2">
        <v>1</v>
      </c>
      <c r="B6" s="16">
        <v>0</v>
      </c>
      <c r="C6" s="16">
        <f>OPEX!E22</f>
        <v>1352328.1591651868</v>
      </c>
      <c r="D6" s="16">
        <f>OPEX!E13</f>
        <v>1910572.4116874998</v>
      </c>
      <c r="E6" s="16">
        <f>B6+C6-D6</f>
        <v>-558244.25252231304</v>
      </c>
      <c r="F6" s="16">
        <f>E6/(1+Indicadores_Econ!B5)^A6</f>
        <v>-507494.77502028452</v>
      </c>
      <c r="G6" s="16">
        <f>G5+F6</f>
        <v>-18537194.775020283</v>
      </c>
    </row>
    <row r="7" spans="1:7" x14ac:dyDescent="0.3">
      <c r="A7" s="2">
        <v>2</v>
      </c>
      <c r="B7" s="16">
        <v>0</v>
      </c>
      <c r="C7" s="16">
        <f>OPEX!E22</f>
        <v>1352328.1591651868</v>
      </c>
      <c r="D7" s="16">
        <f>OPEX!E13</f>
        <v>1910572.4116874998</v>
      </c>
      <c r="E7" s="16">
        <f>B7+C7-D7</f>
        <v>-558244.25252231304</v>
      </c>
      <c r="F7" s="16">
        <f>E7/(1+Indicadores_Econ!B5)^A7</f>
        <v>-461358.88638207683</v>
      </c>
      <c r="G7" s="16">
        <f>G6+F7</f>
        <v>-18998553.66140236</v>
      </c>
    </row>
    <row r="8" spans="1:7" x14ac:dyDescent="0.3">
      <c r="A8" s="2">
        <v>3</v>
      </c>
      <c r="B8" s="16">
        <v>0</v>
      </c>
      <c r="C8" s="16">
        <f>OPEX!E22</f>
        <v>1352328.1591651868</v>
      </c>
      <c r="D8" s="16">
        <f>OPEX!E13</f>
        <v>1910572.4116874998</v>
      </c>
      <c r="E8" s="16">
        <f>B8+C8-D8</f>
        <v>-558244.25252231304</v>
      </c>
      <c r="F8" s="16">
        <f>E8/(1+Indicadores_Econ!B5)^A8</f>
        <v>-419417.16943825159</v>
      </c>
      <c r="G8" s="16">
        <f>G7+F8</f>
        <v>-19417970.83084061</v>
      </c>
    </row>
    <row r="9" spans="1:7" x14ac:dyDescent="0.3">
      <c r="A9" s="2">
        <v>4</v>
      </c>
      <c r="B9" s="16">
        <v>0</v>
      </c>
      <c r="C9" s="16">
        <f>OPEX!E22</f>
        <v>1352328.1591651868</v>
      </c>
      <c r="D9" s="16">
        <f>OPEX!E13</f>
        <v>1910572.4116874998</v>
      </c>
      <c r="E9" s="16">
        <f>B9+C9-D9</f>
        <v>-558244.25252231304</v>
      </c>
      <c r="F9" s="16">
        <f>E9/(1+Indicadores_Econ!B5)^A9</f>
        <v>-381288.33585295599</v>
      </c>
      <c r="G9" s="16">
        <f>G8+F9</f>
        <v>-19799259.166693565</v>
      </c>
    </row>
    <row r="10" spans="1:7" x14ac:dyDescent="0.3">
      <c r="A10" s="2">
        <v>5</v>
      </c>
      <c r="B10" s="16">
        <v>0</v>
      </c>
      <c r="C10" s="16">
        <f>OPEX!E22</f>
        <v>1352328.1591651868</v>
      </c>
      <c r="D10" s="16">
        <f>OPEX!E13</f>
        <v>1910572.4116874998</v>
      </c>
      <c r="E10" s="16">
        <f>B10+C10-D10</f>
        <v>-558244.25252231304</v>
      </c>
      <c r="F10" s="16">
        <f>E10/(1+Indicadores_Econ!B5)^A10</f>
        <v>-346625.75986632361</v>
      </c>
      <c r="G10" s="16">
        <f>G9+F10</f>
        <v>-20145884.926559888</v>
      </c>
    </row>
    <row r="11" spans="1:7" x14ac:dyDescent="0.3">
      <c r="A11" s="2">
        <v>6</v>
      </c>
      <c r="B11" s="16">
        <v>0</v>
      </c>
      <c r="C11" s="16">
        <f>OPEX!E22</f>
        <v>1352328.1591651868</v>
      </c>
      <c r="D11" s="16">
        <f>OPEX!E13</f>
        <v>1910572.4116874998</v>
      </c>
      <c r="E11" s="16">
        <f>B11+C11-D11</f>
        <v>-558244.25252231304</v>
      </c>
      <c r="F11" s="16">
        <f>E11/(1+Indicadores_Econ!B5)^A11</f>
        <v>-315114.32715120324</v>
      </c>
      <c r="G11" s="16">
        <f>G10+F11</f>
        <v>-20460999.253711089</v>
      </c>
    </row>
    <row r="12" spans="1:7" x14ac:dyDescent="0.3">
      <c r="A12" s="2">
        <v>7</v>
      </c>
      <c r="B12" s="16">
        <v>0</v>
      </c>
      <c r="C12" s="16">
        <f>OPEX!E22</f>
        <v>1352328.1591651868</v>
      </c>
      <c r="D12" s="16">
        <f>OPEX!E13</f>
        <v>1910572.4116874998</v>
      </c>
      <c r="E12" s="16">
        <f>B12+C12-D12</f>
        <v>-558244.25252231304</v>
      </c>
      <c r="F12" s="16">
        <f>E12/(1+Indicadores_Econ!B5)^A12</f>
        <v>-286467.57013745746</v>
      </c>
      <c r="G12" s="16">
        <f>G11+F12</f>
        <v>-20747466.823848546</v>
      </c>
    </row>
    <row r="13" spans="1:7" x14ac:dyDescent="0.3">
      <c r="A13" s="2">
        <v>8</v>
      </c>
      <c r="B13" s="16">
        <v>0</v>
      </c>
      <c r="C13" s="16">
        <f>OPEX!E22</f>
        <v>1352328.1591651868</v>
      </c>
      <c r="D13" s="16">
        <f>OPEX!E13</f>
        <v>1910572.4116874998</v>
      </c>
      <c r="E13" s="16">
        <f>B13+C13-D13</f>
        <v>-558244.25252231304</v>
      </c>
      <c r="F13" s="16">
        <f>E13/(1+Indicadores_Econ!B5)^A13</f>
        <v>-260425.06376132497</v>
      </c>
      <c r="G13" s="16">
        <f>G12+F13</f>
        <v>-21007891.887609869</v>
      </c>
    </row>
    <row r="14" spans="1:7" x14ac:dyDescent="0.3">
      <c r="A14" s="2">
        <v>9</v>
      </c>
      <c r="B14" s="16">
        <v>0</v>
      </c>
      <c r="C14" s="16">
        <f>OPEX!E22</f>
        <v>1352328.1591651868</v>
      </c>
      <c r="D14" s="16">
        <f>OPEX!E13</f>
        <v>1910572.4116874998</v>
      </c>
      <c r="E14" s="16">
        <f>B14+C14-D14</f>
        <v>-558244.25252231304</v>
      </c>
      <c r="F14" s="16">
        <f>E14/(1+Indicadores_Econ!B5)^A14</f>
        <v>-236750.05796484087</v>
      </c>
      <c r="G14" s="16">
        <f>G13+F14</f>
        <v>-21244641.945574708</v>
      </c>
    </row>
    <row r="15" spans="1:7" x14ac:dyDescent="0.3">
      <c r="A15" s="2">
        <v>10</v>
      </c>
      <c r="B15" s="16">
        <v>0</v>
      </c>
      <c r="C15" s="16">
        <f>OPEX!E22</f>
        <v>1352328.1591651868</v>
      </c>
      <c r="D15" s="16">
        <f>OPEX!E13</f>
        <v>1910572.4116874998</v>
      </c>
      <c r="E15" s="16">
        <f>B15+C15-D15</f>
        <v>-558244.25252231304</v>
      </c>
      <c r="F15" s="16">
        <f>E15/(1+Indicadores_Econ!B5)^A15</f>
        <v>-215227.32542258259</v>
      </c>
      <c r="G15" s="16">
        <f>G14+F15</f>
        <v>-21459869.27099729</v>
      </c>
    </row>
    <row r="16" spans="1:7" x14ac:dyDescent="0.3">
      <c r="A16" s="2">
        <v>11</v>
      </c>
      <c r="B16" s="16">
        <v>0</v>
      </c>
      <c r="C16" s="16">
        <f>OPEX!E22</f>
        <v>1352328.1591651868</v>
      </c>
      <c r="D16" s="16">
        <f>OPEX!E13</f>
        <v>1910572.4116874998</v>
      </c>
      <c r="E16" s="16">
        <f>B16+C16-D16</f>
        <v>-558244.25252231304</v>
      </c>
      <c r="F16" s="16">
        <f>E16/(1+Indicadores_Econ!B5)^A16</f>
        <v>-195661.20492962049</v>
      </c>
      <c r="G16" s="16">
        <f>G15+F16</f>
        <v>-21655530.47592691</v>
      </c>
    </row>
    <row r="17" spans="1:7" x14ac:dyDescent="0.3">
      <c r="A17" s="2">
        <v>12</v>
      </c>
      <c r="B17" s="16">
        <v>0</v>
      </c>
      <c r="C17" s="16">
        <f>OPEX!E22</f>
        <v>1352328.1591651868</v>
      </c>
      <c r="D17" s="16">
        <f>OPEX!E13</f>
        <v>1910572.4116874998</v>
      </c>
      <c r="E17" s="16">
        <f>B17+C17-D17</f>
        <v>-558244.25252231304</v>
      </c>
      <c r="F17" s="16">
        <f>E17/(1+Indicadores_Econ!B5)^A17</f>
        <v>-177873.82266329139</v>
      </c>
      <c r="G17" s="16">
        <f>G16+F17</f>
        <v>-21833404.298590202</v>
      </c>
    </row>
    <row r="18" spans="1:7" x14ac:dyDescent="0.3">
      <c r="A18" s="2">
        <v>13</v>
      </c>
      <c r="B18" s="16">
        <v>0</v>
      </c>
      <c r="C18" s="16">
        <f>OPEX!E22</f>
        <v>1352328.1591651868</v>
      </c>
      <c r="D18" s="16">
        <f>OPEX!E13</f>
        <v>1910572.4116874998</v>
      </c>
      <c r="E18" s="16">
        <f>B18+C18-D18</f>
        <v>-558244.25252231304</v>
      </c>
      <c r="F18" s="16">
        <f>E18/(1+Indicadores_Econ!B5)^A18</f>
        <v>-161703.47514844671</v>
      </c>
      <c r="G18" s="16">
        <f>G17+F18</f>
        <v>-21995107.773738649</v>
      </c>
    </row>
    <row r="19" spans="1:7" x14ac:dyDescent="0.3">
      <c r="A19" s="2">
        <v>14</v>
      </c>
      <c r="B19" s="16">
        <v>0</v>
      </c>
      <c r="C19" s="16">
        <f>OPEX!E22</f>
        <v>1352328.1591651868</v>
      </c>
      <c r="D19" s="16">
        <f>OPEX!E13</f>
        <v>1910572.4116874998</v>
      </c>
      <c r="E19" s="16">
        <f>B19+C19-D19</f>
        <v>-558244.25252231304</v>
      </c>
      <c r="F19" s="16">
        <f>E19/(1+Indicadores_Econ!B5)^A19</f>
        <v>-147003.15922586061</v>
      </c>
      <c r="G19" s="16">
        <f>G18+F19</f>
        <v>-22142110.932964511</v>
      </c>
    </row>
    <row r="20" spans="1:7" x14ac:dyDescent="0.3">
      <c r="A20" s="2">
        <v>15</v>
      </c>
      <c r="B20" s="16">
        <v>0</v>
      </c>
      <c r="C20" s="16">
        <f>OPEX!E22</f>
        <v>1352328.1591651868</v>
      </c>
      <c r="D20" s="16">
        <f>OPEX!E13</f>
        <v>1910572.4116874998</v>
      </c>
      <c r="E20" s="16">
        <f>B20+C20-D20</f>
        <v>-558244.25252231304</v>
      </c>
      <c r="F20" s="16">
        <f>E20/(1+Indicadores_Econ!B5)^A20</f>
        <v>-133639.23565987329</v>
      </c>
      <c r="G20" s="16">
        <f>G19+F20</f>
        <v>-22275750.168624386</v>
      </c>
    </row>
    <row r="21" spans="1:7" x14ac:dyDescent="0.3">
      <c r="A21" s="2">
        <v>16</v>
      </c>
      <c r="B21" s="16">
        <v>0</v>
      </c>
      <c r="C21" s="16">
        <f>OPEX!E22</f>
        <v>1352328.1591651868</v>
      </c>
      <c r="D21" s="16">
        <f>OPEX!E13</f>
        <v>1910572.4116874998</v>
      </c>
      <c r="E21" s="16">
        <f>B21+C21-D21</f>
        <v>-558244.25252231304</v>
      </c>
      <c r="F21" s="16">
        <f>E21/(1+Indicadores_Econ!B5)^A21</f>
        <v>-121490.21423624843</v>
      </c>
      <c r="G21" s="16">
        <f>G20+F21</f>
        <v>-22397240.382860634</v>
      </c>
    </row>
    <row r="22" spans="1:7" x14ac:dyDescent="0.3">
      <c r="A22" s="2">
        <v>17</v>
      </c>
      <c r="B22" s="16">
        <v>0</v>
      </c>
      <c r="C22" s="16">
        <f>OPEX!E22</f>
        <v>1352328.1591651868</v>
      </c>
      <c r="D22" s="16">
        <f>OPEX!E13</f>
        <v>1910572.4116874998</v>
      </c>
      <c r="E22" s="16">
        <f>B22+C22-D22</f>
        <v>-558244.25252231304</v>
      </c>
      <c r="F22" s="16">
        <f>E22/(1+Indicadores_Econ!B5)^A22</f>
        <v>-110445.64930568039</v>
      </c>
      <c r="G22" s="16">
        <f>G21+F22</f>
        <v>-22507686.032166313</v>
      </c>
    </row>
    <row r="23" spans="1:7" x14ac:dyDescent="0.3">
      <c r="A23" s="2">
        <v>18</v>
      </c>
      <c r="B23" s="16">
        <v>0</v>
      </c>
      <c r="C23" s="16">
        <f>OPEX!E22</f>
        <v>1352328.1591651868</v>
      </c>
      <c r="D23" s="16">
        <f>OPEX!E13</f>
        <v>1910572.4116874998</v>
      </c>
      <c r="E23" s="16">
        <f>B23+C23-D23</f>
        <v>-558244.25252231304</v>
      </c>
      <c r="F23" s="16">
        <f>E23/(1+Indicadores_Econ!B5)^A23</f>
        <v>-100405.13573243671</v>
      </c>
      <c r="G23" s="16">
        <f>G22+F23</f>
        <v>-22608091.167898752</v>
      </c>
    </row>
    <row r="24" spans="1:7" x14ac:dyDescent="0.3">
      <c r="A24" s="2">
        <v>19</v>
      </c>
      <c r="B24" s="16">
        <v>0</v>
      </c>
      <c r="C24" s="16">
        <f>OPEX!E22</f>
        <v>1352328.1591651868</v>
      </c>
      <c r="D24" s="16">
        <f>OPEX!E13</f>
        <v>1910572.4116874998</v>
      </c>
      <c r="E24" s="16">
        <f>B24+C24-D24</f>
        <v>-558244.25252231304</v>
      </c>
      <c r="F24" s="16">
        <f>E24/(1+Indicadores_Econ!B5)^A24</f>
        <v>-91277.396120396996</v>
      </c>
      <c r="G24" s="16">
        <f>G23+F24</f>
        <v>-22699368.564019147</v>
      </c>
    </row>
    <row r="25" spans="1:7" x14ac:dyDescent="0.3">
      <c r="A25" s="2">
        <v>20</v>
      </c>
      <c r="B25" s="16">
        <v>0</v>
      </c>
      <c r="C25" s="16">
        <f>OPEX!E22</f>
        <v>1352328.1591651868</v>
      </c>
      <c r="D25" s="16">
        <f>OPEX!E13</f>
        <v>1910572.4116874998</v>
      </c>
      <c r="E25" s="16">
        <f>B25+C25-D25</f>
        <v>-558244.25252231304</v>
      </c>
      <c r="F25" s="16">
        <f>E25/(1+Indicadores_Econ!B5)^A25</f>
        <v>-82979.451018542721</v>
      </c>
      <c r="G25" s="16">
        <f>G24+F25</f>
        <v>-22782348.015037689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FF587-CA39-46EA-BC85-D94544EC609A}">
  <dimension ref="A1:C16"/>
  <sheetViews>
    <sheetView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27.21875" bestFit="1" customWidth="1"/>
    <col min="2" max="2" width="124.44140625" bestFit="1" customWidth="1"/>
    <col min="3" max="3" width="12.21875" bestFit="1" customWidth="1"/>
  </cols>
  <sheetData>
    <row r="1" spans="1:3" ht="18" x14ac:dyDescent="0.35">
      <c r="A1" s="1" t="s">
        <v>1048</v>
      </c>
      <c r="B1" s="2"/>
      <c r="C1" s="2"/>
    </row>
    <row r="2" spans="1:3" x14ac:dyDescent="0.3">
      <c r="A2" s="3" t="s">
        <v>1049</v>
      </c>
      <c r="B2" s="2"/>
      <c r="C2" s="2"/>
    </row>
    <row r="3" spans="1:3" x14ac:dyDescent="0.3">
      <c r="A3" s="2"/>
      <c r="B3" s="2"/>
      <c r="C3" s="2"/>
    </row>
    <row r="4" spans="1:3" x14ac:dyDescent="0.3">
      <c r="A4" s="4" t="s">
        <v>1050</v>
      </c>
      <c r="B4" s="4" t="s">
        <v>4</v>
      </c>
      <c r="C4" s="4" t="s">
        <v>1051</v>
      </c>
    </row>
    <row r="5" spans="1:3" x14ac:dyDescent="0.3">
      <c r="A5" s="2" t="s">
        <v>1052</v>
      </c>
      <c r="B5" s="18">
        <v>0.1</v>
      </c>
      <c r="C5" s="2" t="s">
        <v>1053</v>
      </c>
    </row>
    <row r="6" spans="1:3" x14ac:dyDescent="0.3">
      <c r="A6" s="2" t="s">
        <v>1054</v>
      </c>
      <c r="B6" s="2">
        <v>20</v>
      </c>
      <c r="C6" s="2" t="s">
        <v>1055</v>
      </c>
    </row>
    <row r="7" spans="1:3" x14ac:dyDescent="0.3">
      <c r="A7" s="2" t="s">
        <v>1056</v>
      </c>
      <c r="B7" s="16">
        <f>CAPEX!D24</f>
        <v>18029700</v>
      </c>
      <c r="C7" s="2" t="s">
        <v>1057</v>
      </c>
    </row>
    <row r="8" spans="1:3" x14ac:dyDescent="0.3">
      <c r="A8" s="2" t="s">
        <v>1058</v>
      </c>
      <c r="B8" s="16">
        <f>OPEX!E13</f>
        <v>1910572.4116874998</v>
      </c>
      <c r="C8" s="2" t="s">
        <v>1059</v>
      </c>
    </row>
    <row r="9" spans="1:3" x14ac:dyDescent="0.3">
      <c r="A9" s="2" t="s">
        <v>1060</v>
      </c>
      <c r="B9" s="16">
        <f>OPEX!E22</f>
        <v>1352328.1591651868</v>
      </c>
      <c r="C9" s="2" t="s">
        <v>1059</v>
      </c>
    </row>
    <row r="10" spans="1:3" x14ac:dyDescent="0.3">
      <c r="A10" s="2" t="s">
        <v>1061</v>
      </c>
      <c r="B10" s="16">
        <f>OPEX!E24</f>
        <v>-558244.25252231304</v>
      </c>
      <c r="C10" s="2" t="s">
        <v>1059</v>
      </c>
    </row>
    <row r="11" spans="1:3" x14ac:dyDescent="0.3">
      <c r="A11" s="2"/>
      <c r="B11" s="2"/>
      <c r="C11" s="2"/>
    </row>
    <row r="12" spans="1:3" x14ac:dyDescent="0.3">
      <c r="A12" s="6" t="s">
        <v>1062</v>
      </c>
      <c r="B12" s="16">
        <f>Fluxo_Caixa!G25</f>
        <v>-22782348.015037689</v>
      </c>
      <c r="C12" s="2" t="s">
        <v>1057</v>
      </c>
    </row>
    <row r="13" spans="1:3" x14ac:dyDescent="0.3">
      <c r="A13" s="6" t="s">
        <v>1063</v>
      </c>
      <c r="B13" s="2" t="str">
        <f>IFERROR(IRR(Fluxo_Caixa!E5:E25),"N/A (negativo)")</f>
        <v>N/A (negativo)</v>
      </c>
      <c r="C13" s="2" t="s">
        <v>1064</v>
      </c>
    </row>
    <row r="14" spans="1:3" x14ac:dyDescent="0.3">
      <c r="A14" s="6" t="s">
        <v>1065</v>
      </c>
      <c r="B14" s="2" t="str">
        <f>IF(OPEX!E24&gt;0,CAPEX!D24/OPEX!E24,"Nao se paga")</f>
        <v>Nao se paga</v>
      </c>
      <c r="C14" s="2" t="s">
        <v>1055</v>
      </c>
    </row>
    <row r="15" spans="1:3" x14ac:dyDescent="0.3">
      <c r="A15" s="2"/>
      <c r="B15" s="2"/>
      <c r="C15" s="2"/>
    </row>
    <row r="16" spans="1:3" x14ac:dyDescent="0.3">
      <c r="A16" s="2" t="s">
        <v>1066</v>
      </c>
      <c r="B16" s="2" t="s">
        <v>1067</v>
      </c>
      <c r="C16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Premissas</vt:lpstr>
      <vt:lpstr>Calculos_Massa</vt:lpstr>
      <vt:lpstr>Fechamento_Elementar</vt:lpstr>
      <vt:lpstr>Correntes_PFD</vt:lpstr>
      <vt:lpstr>Balanco_Energia</vt:lpstr>
      <vt:lpstr>Fermentacao</vt:lpstr>
      <vt:lpstr>Verificacoes</vt:lpstr>
      <vt:lpstr>Dicionario_Variaveis</vt:lpstr>
      <vt:lpstr>Conceitos</vt:lpstr>
      <vt:lpstr>Utilidades</vt:lpstr>
      <vt:lpstr>Custos</vt:lpstr>
      <vt:lpstr>PFD_Visual</vt:lpstr>
      <vt:lpstr>Resumo_Executivo</vt:lpstr>
      <vt:lpstr>KPIs</vt:lpstr>
      <vt:lpstr>Dashboard</vt:lpstr>
      <vt:lpstr>Secagem_Digestato</vt:lpstr>
      <vt:lpstr>Dimensionamento</vt:lpstr>
      <vt:lpstr>Materiais</vt:lpstr>
      <vt:lpstr>Otimizacao</vt:lpstr>
      <vt:lpstr>CAPEX</vt:lpstr>
      <vt:lpstr>OPEX</vt:lpstr>
      <vt:lpstr>Fluxo_Caixa</vt:lpstr>
      <vt:lpstr>Indicadores_Econ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2026-03-26T01:28:01Z</dcterms:created>
  <dcterms:modified xsi:type="dcterms:W3CDTF">2026-03-26T01:28:13Z</dcterms:modified>
</cp:coreProperties>
</file>