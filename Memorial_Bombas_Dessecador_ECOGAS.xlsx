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METODOLOGIA" sheetId="2" state="visible" r:id="rId2"/>
    <sheet name="DADOS_ENTRADA" sheetId="3" state="visible" r:id="rId3"/>
    <sheet name="CÁLCULOS" sheetId="4" state="visible" r:id="rId4"/>
    <sheet name="RESUMO" sheetId="5" state="visible" r:id="rId5"/>
    <sheet name="DESSECADOR" sheetId="6" state="visible" r:id="rId6"/>
    <sheet name="REFERÊ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3A5C"/>
      <sz val="20"/>
    </font>
    <font>
      <name val="Calibri"/>
      <b val="1"/>
      <color rgb="002E5090"/>
      <sz val="14"/>
    </font>
    <font>
      <name val="Calibri"/>
      <b val="1"/>
      <sz val="10"/>
    </font>
    <font>
      <name val="Calibri"/>
      <sz val="10"/>
    </font>
    <font>
      <name val="Calibri"/>
      <b val="1"/>
      <color rgb="001B3A5C"/>
      <sz val="12"/>
    </font>
    <font>
      <name val="Calibri"/>
      <i val="1"/>
      <color rgb="002E5090"/>
      <sz val="9"/>
    </font>
    <font>
      <name val="Consolas"/>
      <color rgb="008B4513"/>
      <sz val="10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CC6600"/>
      <sz val="10"/>
    </font>
    <font>
      <name val="Calibri"/>
      <color rgb="00006400"/>
      <sz val="10"/>
    </font>
    <font>
      <name val="Calibri"/>
      <b val="1"/>
      <color rgb="00006400"/>
      <sz val="11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8E1"/>
      </patternFill>
    </fill>
    <fill>
      <patternFill patternType="solid">
        <fgColor rgb="00E8F8E8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5" fillId="5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Potência Instalada por Bomba [kW]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'RESUMO'!D19</f>
            </strRef>
          </tx>
          <spPr>
            <a:ln>
              <a:prstDash val="solid"/>
            </a:ln>
          </spPr>
          <cat>
            <numRef>
              <f>'RESUMO'!$C$20:$C$27</f>
            </numRef>
          </cat>
          <val>
            <numRef>
              <f>'RESUMO'!$D$20:$D$27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Bomba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Potência [kW]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20" customWidth="1" min="4" max="4"/>
  </cols>
  <sheetData>
    <row r="3">
      <c r="B3" s="1" t="inlineStr">
        <is>
          <t>ECOGAS — INDÚSTRIA DE BIOMETANO</t>
        </is>
      </c>
    </row>
    <row r="5">
      <c r="B5" s="2" t="inlineStr">
        <is>
          <t>Memorial de Cálculo: Dimensionamento de Bombas &amp; Dessecador</t>
        </is>
      </c>
    </row>
    <row r="8">
      <c r="B8" s="3" t="inlineStr">
        <is>
          <t>Disciplina:</t>
        </is>
      </c>
      <c r="C8" s="4" t="inlineStr">
        <is>
          <t>Projetos Industriais II — EQ/UFMS</t>
        </is>
      </c>
    </row>
    <row r="9">
      <c r="B9" s="3" t="inlineStr">
        <is>
          <t>Semestre:</t>
        </is>
      </c>
      <c r="C9" s="4" t="inlineStr">
        <is>
          <t>2026/1</t>
        </is>
      </c>
    </row>
    <row r="10">
      <c r="B10" s="3" t="inlineStr">
        <is>
          <t>Grupo:</t>
        </is>
      </c>
      <c r="C10" s="4" t="inlineStr">
        <is>
          <t>ECOGAS</t>
        </is>
      </c>
    </row>
    <row r="11">
      <c r="B11" s="3" t="inlineStr">
        <is>
          <t>Responsável (Bombas):</t>
        </is>
      </c>
      <c r="C11" s="4" t="inlineStr">
        <is>
          <t>G. Luz</t>
        </is>
      </c>
    </row>
    <row r="12">
      <c r="B12" s="3" t="inlineStr">
        <is>
          <t>Coordenador Técnico:</t>
        </is>
      </c>
      <c r="C12" s="4" t="inlineStr">
        <is>
          <t>Gabriel Miranda</t>
        </is>
      </c>
    </row>
    <row r="13">
      <c r="B13" s="3" t="inlineStr">
        <is>
          <t>Revisão:</t>
        </is>
      </c>
      <c r="C13" s="4" t="inlineStr">
        <is>
          <t>v1.0 — Maio/2026</t>
        </is>
      </c>
    </row>
    <row r="14">
      <c r="B14" s="3" t="inlineStr"/>
      <c r="C14" s="4" t="inlineStr"/>
    </row>
    <row r="15">
      <c r="B15" s="3" t="inlineStr">
        <is>
          <t>Escopo:</t>
        </is>
      </c>
      <c r="C15" s="4" t="inlineStr">
        <is>
          <t>Dimensionamento de 8 bombas (P-101 a P-108)</t>
        </is>
      </c>
    </row>
    <row r="16">
      <c r="B16" s="3" t="inlineStr"/>
      <c r="C16" s="4" t="inlineStr">
        <is>
          <t>e 1 dessecador (S-101) para planta de biometano</t>
        </is>
      </c>
    </row>
    <row r="17">
      <c r="B17" s="3" t="inlineStr"/>
      <c r="C17" s="4" t="inlineStr">
        <is>
          <t>por co-digestão anaeróbia + water scrubbing (HPWS)</t>
        </is>
      </c>
    </row>
    <row r="18">
      <c r="B18" s="3" t="inlineStr"/>
      <c r="C18" s="4" t="inlineStr"/>
    </row>
    <row r="19">
      <c r="B19" s="3" t="inlineStr">
        <is>
          <t>Rota tecnológica:</t>
        </is>
      </c>
      <c r="C19" s="4" t="inlineStr">
        <is>
          <t>Co-digestão (lodo ETE + vinhaça + resíduo orgânico)</t>
        </is>
      </c>
    </row>
    <row r="20">
      <c r="B20" s="3" t="inlineStr">
        <is>
          <t>Purificação:</t>
        </is>
      </c>
      <c r="C20" s="4" t="inlineStr">
        <is>
          <t>HPWS (High Pressure Water Scrubbing) a 10 bar</t>
        </is>
      </c>
    </row>
    <row r="21">
      <c r="B21" s="3" t="inlineStr">
        <is>
          <t>Capacidade:</t>
        </is>
      </c>
      <c r="C21" s="4" t="inlineStr">
        <is>
          <t>500 m³/dia substrato → 4.406 Nm³/dia biometano</t>
        </is>
      </c>
    </row>
    <row r="22">
      <c r="B22" s="3" t="inlineStr"/>
      <c r="C22" s="4" t="inlineStr"/>
    </row>
    <row r="23">
      <c r="B23" s="3" t="inlineStr">
        <is>
          <t>Software:</t>
        </is>
      </c>
      <c r="C23" s="4" t="inlineStr">
        <is>
          <t>Python 3.14 + openpyxl (geração automática)</t>
        </is>
      </c>
    </row>
    <row r="24">
      <c r="B24" s="3" t="inlineStr">
        <is>
          <t>Verificação:</t>
        </is>
      </c>
      <c r="C24" s="4" t="inlineStr">
        <is>
          <t>Resultados conferidos com ecogas_engine.js e Memorial HTML</t>
        </is>
      </c>
    </row>
    <row r="27">
      <c r="B27" s="5" t="inlineStr">
        <is>
          <t>ABAS DESTA PLANILHA:</t>
        </is>
      </c>
    </row>
    <row r="28">
      <c r="B28" s="3" t="inlineStr">
        <is>
          <t>1. CAPA</t>
        </is>
      </c>
      <c r="C28" s="4" t="inlineStr">
        <is>
          <t>Identificação do documento</t>
        </is>
      </c>
    </row>
    <row r="29">
      <c r="B29" s="3" t="inlineStr">
        <is>
          <t>2. METODOLOGIA</t>
        </is>
      </c>
      <c r="C29" s="4" t="inlineStr">
        <is>
          <t>Equações, definições, hipóteses e referências</t>
        </is>
      </c>
    </row>
    <row r="30">
      <c r="B30" s="3" t="inlineStr">
        <is>
          <t>3. DADOS_ENTRADA</t>
        </is>
      </c>
      <c r="C30" s="4" t="inlineStr">
        <is>
          <t>Propriedades dos fluidos e parâmetros de projeto</t>
        </is>
      </c>
    </row>
    <row r="31">
      <c r="B31" s="3" t="inlineStr">
        <is>
          <t>4. CÁLCULOS</t>
        </is>
      </c>
      <c r="C31" s="4" t="inlineStr">
        <is>
          <t>Dimensionamento passo a passo de P-101 a P-108</t>
        </is>
      </c>
    </row>
    <row r="32">
      <c r="B32" s="3" t="inlineStr">
        <is>
          <t>5. RESUMO</t>
        </is>
      </c>
      <c r="C32" s="4" t="inlineStr">
        <is>
          <t>Tabela consolidada + gráfico de potência</t>
        </is>
      </c>
    </row>
    <row r="33">
      <c r="B33" s="3" t="inlineStr">
        <is>
          <t>6. DESSECADOR</t>
        </is>
      </c>
      <c r="C33" s="4" t="inlineStr">
        <is>
          <t>Dimensionamento do S-101 (PSA, ANP 685/2017)</t>
        </is>
      </c>
    </row>
    <row r="34">
      <c r="B34" s="3" t="inlineStr">
        <is>
          <t>7. REFERÊNCIAS</t>
        </is>
      </c>
      <c r="C34" s="4" t="inlineStr">
        <is>
          <t>Bibliografia completa com normas e livros-texto</t>
        </is>
      </c>
    </row>
  </sheetData>
  <mergeCells count="3">
    <mergeCell ref="B27:C27"/>
    <mergeCell ref="B3:C3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  <col width="35" customWidth="1" min="4" max="4"/>
    <col width="30" customWidth="1" min="5" max="5"/>
  </cols>
  <sheetData>
    <row r="2">
      <c r="B2" s="1" t="inlineStr">
        <is>
          <t>METODOLOGIA DE DIMENSIONAMENTO DE BOMBAS</t>
        </is>
      </c>
    </row>
    <row r="4">
      <c r="B4" s="5" t="inlineStr">
        <is>
          <t>1. FUNDAMENTO TEÓRICO — EQUAÇÃO DE BERNOULLI</t>
        </is>
      </c>
    </row>
    <row r="5">
      <c r="B5" s="3" t="inlineStr">
        <is>
          <t>Conceito:</t>
        </is>
      </c>
      <c r="C5" s="4" t="inlineStr">
        <is>
          <t>A bomba fornece energia ao fluido para vencer desnível geométrico,</t>
        </is>
      </c>
      <c r="D5" s="6" t="inlineStr">
        <is>
          <t>diferença de pressão e perdas por atrito nas tubulações.</t>
        </is>
      </c>
    </row>
    <row r="6">
      <c r="B6" s="3" t="inlineStr">
        <is>
          <t>Equação base:</t>
        </is>
      </c>
      <c r="C6" s="4" t="inlineStr">
        <is>
          <t>P₁/(ρg) + v₁²/(2g) + z₁ + H_m = P₂/(ρg) + v₂²/(2g) + z₂ + hf</t>
        </is>
      </c>
      <c r="D6" s="6" t="inlineStr">
        <is>
          <t>Franzini &amp; Finnemore (1994), Eq. 10.1</t>
        </is>
      </c>
    </row>
    <row r="7">
      <c r="B7" s="3" t="inlineStr">
        <is>
          <t>Simplificação:</t>
        </is>
      </c>
      <c r="C7" s="4" t="inlineStr">
        <is>
          <t>Para tanques grandes, v₁ ≈ v₂ ≈ 0 (vel. desprezível)</t>
        </is>
      </c>
      <c r="D7" s="6" t="inlineStr">
        <is>
          <t>→ termos cinéticos cancelam</t>
        </is>
      </c>
    </row>
    <row r="9">
      <c r="B9" s="5" t="inlineStr">
        <is>
          <t>2. ALTURA MANOMÉTRICA TOTAL (H_m)</t>
        </is>
      </c>
    </row>
    <row r="10">
      <c r="B10" s="3" t="inlineStr">
        <is>
          <t>H_m =</t>
        </is>
      </c>
      <c r="C10" s="7" t="inlineStr">
        <is>
          <t>H_geo + H_pressão + H_perda</t>
        </is>
      </c>
      <c r="D10" s="4" t="inlineStr">
        <is>
          <t>[m]</t>
        </is>
      </c>
      <c r="E10" s="8" t="inlineStr">
        <is>
          <t>Soma dos três termos</t>
        </is>
      </c>
    </row>
    <row r="11">
      <c r="B11" s="3" t="inlineStr">
        <is>
          <t>H_geo =</t>
        </is>
      </c>
      <c r="C11" s="7" t="inlineStr">
        <is>
          <t>z₂ − z₁</t>
        </is>
      </c>
      <c r="D11" s="4" t="inlineStr">
        <is>
          <t>[m]</t>
        </is>
      </c>
      <c r="E11" s="8" t="inlineStr">
        <is>
          <t>Desnível geométrico (cotas do PFD)</t>
        </is>
      </c>
    </row>
    <row r="12">
      <c r="B12" s="3" t="inlineStr">
        <is>
          <t>H_pressão =</t>
        </is>
      </c>
      <c r="C12" s="7" t="inlineStr">
        <is>
          <t>ΔP / (ρ × g)</t>
        </is>
      </c>
      <c r="D12" s="4" t="inlineStr">
        <is>
          <t>[m]</t>
        </is>
      </c>
      <c r="E12" s="8" t="inlineStr">
        <is>
          <t>Diferença de pressão em m.c.fluido</t>
        </is>
      </c>
    </row>
    <row r="13">
      <c r="B13" s="3" t="inlineStr">
        <is>
          <t>H_perda =</t>
        </is>
      </c>
      <c r="C13" s="7" t="inlineStr">
        <is>
          <t>0.20 × (H_geo + H_pressão)</t>
        </is>
      </c>
      <c r="D13" s="4" t="inlineStr">
        <is>
          <t>[m]</t>
        </is>
      </c>
      <c r="E13" s="8" t="inlineStr">
        <is>
          <t>Heurística: 20% (projeto conceitual)</t>
        </is>
      </c>
    </row>
    <row r="15">
      <c r="B15" s="3" t="inlineStr">
        <is>
          <t>Justificativa H_perda = 20%:</t>
        </is>
      </c>
      <c r="C15" s="4" t="inlineStr">
        <is>
          <t>Em projeto conceitual (FEL-2), quando tubulações ainda não estão</t>
        </is>
      </c>
    </row>
    <row r="16">
      <c r="C16" s="4" t="inlineStr">
        <is>
          <t>detalhadas, adota-se 15-25% como margem de segurança para perdas.</t>
        </is>
      </c>
    </row>
    <row r="17">
      <c r="C17" s="6" t="inlineStr">
        <is>
          <t>Ref: Metcalf &amp; Eddy (2014), Cap.10; Crane TP-410 (2011), App. A.</t>
        </is>
      </c>
    </row>
    <row r="19">
      <c r="B19" s="5" t="inlineStr">
        <is>
          <t>3. CADEIA DE POTÊNCIAS</t>
        </is>
      </c>
    </row>
    <row r="20">
      <c r="B20" s="3" t="inlineStr">
        <is>
          <t>P_hid =</t>
        </is>
      </c>
      <c r="C20" s="7" t="inlineStr">
        <is>
          <t>ρ × g × Q × H_m</t>
        </is>
      </c>
      <c r="D20" s="4" t="inlineStr">
        <is>
          <t>[W]</t>
        </is>
      </c>
      <c r="E20" s="8" t="inlineStr">
        <is>
          <t>Potência transferida ao fluido</t>
        </is>
      </c>
    </row>
    <row r="21">
      <c r="B21" s="3" t="inlineStr">
        <is>
          <t>P_eixo =</t>
        </is>
      </c>
      <c r="C21" s="7" t="inlineStr">
        <is>
          <t>P_hid / η_bomba</t>
        </is>
      </c>
      <c r="D21" s="4" t="inlineStr">
        <is>
          <t>[W]</t>
        </is>
      </c>
      <c r="E21" s="8" t="inlineStr">
        <is>
          <t>Potência no eixo (perdas mecânicas)</t>
        </is>
      </c>
    </row>
    <row r="22">
      <c r="B22" s="3" t="inlineStr">
        <is>
          <t>P_motor =</t>
        </is>
      </c>
      <c r="C22" s="7" t="inlineStr">
        <is>
          <t>P_eixo / η_motor</t>
        </is>
      </c>
      <c r="D22" s="4" t="inlineStr">
        <is>
          <t>[W]</t>
        </is>
      </c>
      <c r="E22" s="8" t="inlineStr">
        <is>
          <t>Potência elétrica consumida</t>
        </is>
      </c>
    </row>
    <row r="23">
      <c r="B23" s="3" t="inlineStr">
        <is>
          <t>P_instalada =</t>
        </is>
      </c>
      <c r="C23" s="7" t="inlineStr">
        <is>
          <t>P_motor × FS</t>
        </is>
      </c>
      <c r="D23" s="4" t="inlineStr">
        <is>
          <t>[W]</t>
        </is>
      </c>
      <c r="E23" s="8" t="inlineStr">
        <is>
          <t>Potência placa do motor (+margem)</t>
        </is>
      </c>
    </row>
    <row r="25">
      <c r="B25" s="3" t="inlineStr">
        <is>
          <t>Onde:</t>
        </is>
      </c>
    </row>
    <row r="26">
      <c r="B26" s="7" t="inlineStr">
        <is>
          <t>ρ</t>
        </is>
      </c>
      <c r="C26" s="4" t="inlineStr">
        <is>
          <t>Massa específica do fluido</t>
        </is>
      </c>
      <c r="D26" s="3" t="inlineStr">
        <is>
          <t>kg/m³</t>
        </is>
      </c>
      <c r="E26" s="8" t="inlineStr">
        <is>
          <t>Depende do fluido bombeado</t>
        </is>
      </c>
    </row>
    <row r="27">
      <c r="B27" s="7" t="inlineStr">
        <is>
          <t>g</t>
        </is>
      </c>
      <c r="C27" s="4" t="inlineStr">
        <is>
          <t>Aceleração da gravidade</t>
        </is>
      </c>
      <c r="D27" s="3" t="inlineStr">
        <is>
          <t>9.81 m/s²</t>
        </is>
      </c>
      <c r="E27" s="8" t="inlineStr">
        <is>
          <t>Constante</t>
        </is>
      </c>
    </row>
    <row r="28">
      <c r="B28" s="7" t="inlineStr">
        <is>
          <t>Q</t>
        </is>
      </c>
      <c r="C28" s="4" t="inlineStr">
        <is>
          <t>Vazão volumétrica</t>
        </is>
      </c>
      <c r="D28" s="3" t="inlineStr">
        <is>
          <t>m³/s</t>
        </is>
      </c>
      <c r="E28" s="8" t="inlineStr">
        <is>
          <t>Do Balanço de Massa</t>
        </is>
      </c>
    </row>
    <row r="29">
      <c r="B29" s="7" t="inlineStr">
        <is>
          <t>H_m</t>
        </is>
      </c>
      <c r="C29" s="4" t="inlineStr">
        <is>
          <t>Altura manométrica total</t>
        </is>
      </c>
      <c r="D29" s="3" t="inlineStr">
        <is>
          <t>m</t>
        </is>
      </c>
      <c r="E29" s="8" t="inlineStr">
        <is>
          <t>Calculada acima</t>
        </is>
      </c>
    </row>
    <row r="30">
      <c r="B30" s="7" t="inlineStr">
        <is>
          <t>η_bomba</t>
        </is>
      </c>
      <c r="C30" s="4" t="inlineStr">
        <is>
          <t>Rendimento da bomba</t>
        </is>
      </c>
      <c r="D30" s="3" t="inlineStr">
        <is>
          <t>adim.</t>
        </is>
      </c>
      <c r="E30" s="8" t="inlineStr">
        <is>
          <t>Função do tipo/tamanho</t>
        </is>
      </c>
    </row>
    <row r="31">
      <c r="B31" s="7" t="inlineStr">
        <is>
          <t>η_motor</t>
        </is>
      </c>
      <c r="C31" s="4" t="inlineStr">
        <is>
          <t>Rendimento do motor elétrico</t>
        </is>
      </c>
      <c r="D31" s="3" t="inlineStr">
        <is>
          <t>0.93</t>
        </is>
      </c>
      <c r="E31" s="8" t="inlineStr">
        <is>
          <t>NBR IEC 60034-30 (IE3)</t>
        </is>
      </c>
    </row>
    <row r="32">
      <c r="B32" s="7" t="inlineStr">
        <is>
          <t>FS</t>
        </is>
      </c>
      <c r="C32" s="4" t="inlineStr">
        <is>
          <t>Fator de serviço</t>
        </is>
      </c>
      <c r="D32" s="3" t="inlineStr">
        <is>
          <t>1.15</t>
        </is>
      </c>
      <c r="E32" s="8" t="inlineStr">
        <is>
          <t>Margem para partida/variações</t>
        </is>
      </c>
    </row>
    <row r="35">
      <c r="B35" s="5" t="inlineStr">
        <is>
          <t>4. EFICIÊNCIAS ADOTADAS</t>
        </is>
      </c>
    </row>
    <row r="36">
      <c r="B36" s="4" t="inlineStr">
        <is>
          <t>Centrífuga canal aberto (lodo)</t>
        </is>
      </c>
      <c r="C36" s="3" t="inlineStr">
        <is>
          <t>η = 0.60</t>
        </is>
      </c>
      <c r="D36" s="6" t="inlineStr">
        <is>
          <t>Metcalf &amp; Eddy (2014), Tab. 10-3</t>
        </is>
      </c>
    </row>
    <row r="37">
      <c r="B37" s="4" t="inlineStr">
        <is>
          <t>Centrífuga standard (água/vinhaça)</t>
        </is>
      </c>
      <c r="C37" s="3" t="inlineStr">
        <is>
          <t>η = 0.70</t>
        </is>
      </c>
      <c r="D37" s="6" t="inlineStr">
        <is>
          <t>Karassik et al. (2001), Tab. 2.1</t>
        </is>
      </c>
    </row>
    <row r="38">
      <c r="B38" s="4" t="inlineStr">
        <is>
          <t>Cavidade progressiva (Moineau)</t>
        </is>
      </c>
      <c r="C38" s="3" t="inlineStr">
        <is>
          <t>η = 0.55</t>
        </is>
      </c>
      <c r="D38" s="6" t="inlineStr">
        <is>
          <t>Perry's (2019), Cap. 10-25</t>
        </is>
      </c>
    </row>
    <row r="39">
      <c r="B39" s="4" t="inlineStr">
        <is>
          <t>Multi-estágio (alta pressão)</t>
        </is>
      </c>
      <c r="C39" s="3" t="inlineStr">
        <is>
          <t>η = 0.68</t>
        </is>
      </c>
      <c r="D39" s="6" t="inlineStr">
        <is>
          <t>Grundfos/KSB catálogos técnicos</t>
        </is>
      </c>
    </row>
    <row r="40">
      <c r="B40" s="4" t="inlineStr">
        <is>
          <t>Motor elétrico (IE3, 1.5-45 kW)</t>
        </is>
      </c>
      <c r="C40" s="3" t="inlineStr">
        <is>
          <t>η = 0.93</t>
        </is>
      </c>
      <c r="D40" s="6" t="inlineStr">
        <is>
          <t>NBR IEC 60034-30-1:2019</t>
        </is>
      </c>
    </row>
    <row r="43">
      <c r="B43" s="5" t="inlineStr">
        <is>
          <t>5. VERIFICAÇÕES OBRIGATÓRIAS</t>
        </is>
      </c>
    </row>
    <row r="44">
      <c r="B44" s="3" t="inlineStr">
        <is>
          <t>Reynolds:</t>
        </is>
      </c>
      <c r="C44" s="7" t="inlineStr">
        <is>
          <t>Re = ρ × v × D / μ</t>
        </is>
      </c>
      <c r="D44" s="8" t="inlineStr">
        <is>
          <t>Confirma regime (laminar/turbulento)</t>
        </is>
      </c>
    </row>
    <row r="45">
      <c r="B45" s="3" t="inlineStr">
        <is>
          <t>Velocidade:</t>
        </is>
      </c>
      <c r="C45" s="7" t="inlineStr">
        <is>
          <t>v = Q / A = 4Q / (πD²)</t>
        </is>
      </c>
      <c r="D45" s="8" t="inlineStr">
        <is>
          <t>Limites: 0.5-3.0 m/s (Crane TP-410)</t>
        </is>
      </c>
    </row>
    <row r="46">
      <c r="B46" s="3" t="inlineStr">
        <is>
          <t>NPSH:</t>
        </is>
      </c>
      <c r="C46" s="7" t="inlineStr">
        <is>
          <t>NPSHd = (P_atm−P_vap)/(ρg) + z_suc − hf_suc</t>
        </is>
      </c>
      <c r="D46" s="8" t="inlineStr">
        <is>
          <t>NPSHd &gt; NPSHr + 0.5 m</t>
        </is>
      </c>
    </row>
    <row r="47">
      <c r="B47" s="3" t="inlineStr">
        <is>
          <t>Cavitação:</t>
        </is>
      </c>
      <c r="C47" s="7" t="inlineStr">
        <is>
          <t>Se NPSHd &lt; NPSHr → CAVITAÇÃO!</t>
        </is>
      </c>
      <c r="D47" s="8" t="inlineStr">
        <is>
          <t>Reduzir velocidade ou rebaixar bomba</t>
        </is>
      </c>
    </row>
    <row r="50">
      <c r="B50" s="5" t="inlineStr">
        <is>
          <t>6. CRITÉRIOS DE SELEÇÃO DO TIPO DE BOMBA</t>
        </is>
      </c>
    </row>
    <row r="51">
      <c r="B51" s="3" t="inlineStr">
        <is>
          <t>Fluido com sólidos (&gt;1% ST):</t>
        </is>
      </c>
      <c r="C51" s="4" t="inlineStr">
        <is>
          <t>→ Centrífuga canal aberto / Moineau</t>
        </is>
      </c>
      <c r="D51" s="8" t="inlineStr">
        <is>
          <t>Impelidor fechado obstrui</t>
        </is>
      </c>
    </row>
    <row r="52">
      <c r="B52" s="3" t="inlineStr">
        <is>
          <t>Viscosidade &gt; 0.1 Pa·s:</t>
        </is>
      </c>
      <c r="C52" s="4" t="inlineStr">
        <is>
          <t>→ Deslocamento positivo (Moineau)</t>
        </is>
      </c>
      <c r="D52" s="8" t="inlineStr">
        <is>
          <t>Centrífuga perde eficiência</t>
        </is>
      </c>
    </row>
    <row r="53">
      <c r="B53" s="3" t="inlineStr">
        <is>
          <t>Alta pressão (ΔP &gt; 5 bar):</t>
        </is>
      </c>
      <c r="C53" s="4" t="inlineStr">
        <is>
          <t>→ Multi-estágio ou pistão</t>
        </is>
      </c>
      <c r="D53" s="8" t="inlineStr">
        <is>
          <t>Um estágio ≈ 25-30 m c.a.</t>
        </is>
      </c>
    </row>
    <row r="54">
      <c r="B54" s="3" t="inlineStr">
        <is>
          <t>Corrosivo (pH &lt; 5):</t>
        </is>
      </c>
      <c r="C54" s="4" t="inlineStr">
        <is>
          <t>→ Material 316L ou superior</t>
        </is>
      </c>
      <c r="D54" s="8" t="inlineStr">
        <is>
          <t>Ferro fundido corrói</t>
        </is>
      </c>
    </row>
    <row r="55">
      <c r="B55" s="3" t="inlineStr">
        <is>
          <t>Duty/Standby:</t>
        </is>
      </c>
      <c r="C55" s="4" t="inlineStr">
        <is>
          <t>→ Quando processo é contínuo</t>
        </is>
      </c>
      <c r="D55" s="8" t="inlineStr">
        <is>
          <t>Uma opera, outra reserva (100%)</t>
        </is>
      </c>
    </row>
  </sheetData>
  <mergeCells count="7">
    <mergeCell ref="B19:D19"/>
    <mergeCell ref="B35:D35"/>
    <mergeCell ref="B4:D4"/>
    <mergeCell ref="B50:D50"/>
    <mergeCell ref="B9:D9"/>
    <mergeCell ref="B43:D43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2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20" customWidth="1" min="12" max="12"/>
    <col width="15" customWidth="1" min="13" max="13"/>
  </cols>
  <sheetData>
    <row r="2">
      <c r="B2" s="1" t="inlineStr">
        <is>
          <t>DADOS DE ENTRADA — PROPRIEDADES DOS FLUIDOS E PARÂMETROS GEOMÉTRICOS</t>
        </is>
      </c>
    </row>
    <row r="4">
      <c r="B4" s="3" t="inlineStr">
        <is>
          <t>Fonte dos dados:</t>
        </is>
      </c>
      <c r="C4" s="4" t="inlineStr">
        <is>
          <t>Balanço de Massa ECOGAS (validado, erro absoluto = 0 kg/d)</t>
        </is>
      </c>
    </row>
    <row r="5">
      <c r="B5" s="3" t="inlineStr"/>
      <c r="C5" s="4" t="inlineStr">
        <is>
          <t>PFD ECOGAS (cotas geométricas) + Diretrizes ECOGAS v1 (metodologia)</t>
        </is>
      </c>
    </row>
    <row r="7">
      <c r="A7" s="9" t="inlineStr"/>
      <c r="B7" s="9" t="inlineStr">
        <is>
          <t>Tag</t>
        </is>
      </c>
      <c r="C7" s="9" t="inlineStr">
        <is>
          <t>Serviço</t>
        </is>
      </c>
      <c r="D7" s="9" t="inlineStr">
        <is>
          <t>Fluido</t>
        </is>
      </c>
      <c r="E7" s="9" t="inlineStr">
        <is>
          <t>ρ [kg/m³]</t>
        </is>
      </c>
      <c r="F7" s="9" t="inlineStr">
        <is>
          <t>μ [Pa·s]</t>
        </is>
      </c>
      <c r="G7" s="9" t="inlineStr">
        <is>
          <t>Q [m³/d]</t>
        </is>
      </c>
      <c r="H7" s="9" t="inlineStr">
        <is>
          <t>H_geo [m]</t>
        </is>
      </c>
      <c r="I7" s="9" t="inlineStr">
        <is>
          <t>ΔP [kPa]</t>
        </is>
      </c>
      <c r="J7" s="9" t="inlineStr">
        <is>
          <t>η_bomba</t>
        </is>
      </c>
      <c r="K7" s="9" t="inlineStr">
        <is>
          <t>Tipo</t>
        </is>
      </c>
      <c r="L7" s="9" t="inlineStr">
        <is>
          <t>Material</t>
        </is>
      </c>
      <c r="M7" s="9" t="inlineStr">
        <is>
          <t>Config.</t>
        </is>
      </c>
    </row>
    <row r="8">
      <c r="A8" s="10" t="inlineStr"/>
      <c r="B8" s="10" t="inlineStr">
        <is>
          <t>P-101 A/B</t>
        </is>
      </c>
      <c r="C8" s="10" t="inlineStr">
        <is>
          <t>Lodo ETE Los Angeles → TQ-01</t>
        </is>
      </c>
      <c r="D8" s="10" t="inlineStr">
        <is>
          <t>Lodo de ETE (2-5% ST)</t>
        </is>
      </c>
      <c r="E8" s="10" t="n">
        <v>1020</v>
      </c>
      <c r="F8" s="10" t="n">
        <v>0.05</v>
      </c>
      <c r="G8" s="10" t="n">
        <v>320</v>
      </c>
      <c r="H8" s="10" t="n">
        <v>1.5</v>
      </c>
      <c r="I8" s="10" t="n">
        <v>0</v>
      </c>
      <c r="J8" s="10" t="n">
        <v>0.6</v>
      </c>
      <c r="K8" s="10" t="inlineStr">
        <is>
          <t>Centrífuga canal aberto</t>
        </is>
      </c>
      <c r="L8" s="10" t="inlineStr">
        <is>
          <t>Ferro fundido / 316L</t>
        </is>
      </c>
      <c r="M8" s="10" t="inlineStr">
        <is>
          <t>Duty/Standby</t>
        </is>
      </c>
    </row>
    <row r="9">
      <c r="A9" s="10" t="inlineStr"/>
      <c r="B9" s="10" t="inlineStr">
        <is>
          <t>P-102 A/B</t>
        </is>
      </c>
      <c r="C9" s="10" t="inlineStr">
        <is>
          <t>Lodo ETE Imbirussu → TQ-01</t>
        </is>
      </c>
      <c r="D9" s="10" t="inlineStr">
        <is>
          <t>Lodo de ETE (2-5% ST)</t>
        </is>
      </c>
      <c r="E9" s="10" t="n">
        <v>1015</v>
      </c>
      <c r="F9" s="10" t="n">
        <v>0.05</v>
      </c>
      <c r="G9" s="10" t="n">
        <v>80</v>
      </c>
      <c r="H9" s="10" t="n">
        <v>1.5</v>
      </c>
      <c r="I9" s="10" t="n">
        <v>0</v>
      </c>
      <c r="J9" s="10" t="n">
        <v>0.6</v>
      </c>
      <c r="K9" s="10" t="inlineStr">
        <is>
          <t>Centrífuga canal aberto</t>
        </is>
      </c>
      <c r="L9" s="10" t="inlineStr">
        <is>
          <t>Ferro fundido / 316L</t>
        </is>
      </c>
      <c r="M9" s="10" t="inlineStr">
        <is>
          <t>Duty/Standby</t>
        </is>
      </c>
    </row>
    <row r="10">
      <c r="A10" s="10" t="inlineStr"/>
      <c r="B10" s="10" t="inlineStr">
        <is>
          <t>P-103</t>
        </is>
      </c>
      <c r="C10" s="10" t="inlineStr">
        <is>
          <t>Vinhaça 2G → TQ-02</t>
        </is>
      </c>
      <c r="D10" s="10" t="inlineStr">
        <is>
          <t>Vinhaça 2ª geração (pH 3-5)</t>
        </is>
      </c>
      <c r="E10" s="10" t="n">
        <v>1050</v>
      </c>
      <c r="F10" s="10" t="n">
        <v>0.02</v>
      </c>
      <c r="G10" s="10" t="n">
        <v>50</v>
      </c>
      <c r="H10" s="10" t="n">
        <v>1.2</v>
      </c>
      <c r="I10" s="10" t="n">
        <v>0</v>
      </c>
      <c r="J10" s="10" t="n">
        <v>0.7</v>
      </c>
      <c r="K10" s="10" t="inlineStr">
        <is>
          <t>Centrífuga standard</t>
        </is>
      </c>
      <c r="L10" s="10" t="inlineStr">
        <is>
          <t>Aço inox 316L</t>
        </is>
      </c>
      <c r="M10" s="10" t="inlineStr">
        <is>
          <t>Simplex</t>
        </is>
      </c>
    </row>
    <row r="11">
      <c r="A11" s="10" t="inlineStr"/>
      <c r="B11" s="10" t="inlineStr">
        <is>
          <t>P-104</t>
        </is>
      </c>
      <c r="C11" s="10" t="inlineStr">
        <is>
          <t>Resíduo Orgânico → TQ-03</t>
        </is>
      </c>
      <c r="D11" s="10" t="inlineStr">
        <is>
          <t>Resíduo orgânico (10% ST)</t>
        </is>
      </c>
      <c r="E11" s="10" t="n">
        <v>1080</v>
      </c>
      <c r="F11" s="11" t="n">
        <v>0.8</v>
      </c>
      <c r="G11" s="10" t="n">
        <v>50</v>
      </c>
      <c r="H11" s="10" t="n">
        <v>1.2</v>
      </c>
      <c r="I11" s="10" t="n">
        <v>0</v>
      </c>
      <c r="J11" s="10" t="n">
        <v>0.55</v>
      </c>
      <c r="K11" s="10" t="inlineStr">
        <is>
          <t>Cavidade progressiva (Moineau)</t>
        </is>
      </c>
      <c r="L11" s="10" t="inlineStr">
        <is>
          <t>Aço inox / Monel</t>
        </is>
      </c>
      <c r="M11" s="10" t="inlineStr">
        <is>
          <t>Simplex</t>
        </is>
      </c>
    </row>
    <row r="12">
      <c r="A12" s="10" t="inlineStr"/>
      <c r="B12" s="10" t="inlineStr">
        <is>
          <t>P-105 A/B</t>
        </is>
      </c>
      <c r="C12" s="10" t="inlineStr">
        <is>
          <t>MX-01 → Biorreatores BIO-01..04</t>
        </is>
      </c>
      <c r="D12" s="10" t="inlineStr">
        <is>
          <t>Substrato homogeneizado</t>
        </is>
      </c>
      <c r="E12" s="10" t="n">
        <v>1021.7</v>
      </c>
      <c r="F12" s="10" t="n">
        <v>0.045</v>
      </c>
      <c r="G12" s="10" t="n">
        <v>500</v>
      </c>
      <c r="H12" s="10" t="n">
        <v>7.27</v>
      </c>
      <c r="I12" s="10" t="n">
        <v>0</v>
      </c>
      <c r="J12" s="10" t="n">
        <v>0.6</v>
      </c>
      <c r="K12" s="10" t="inlineStr">
        <is>
          <t>Centrífuga canal aberto</t>
        </is>
      </c>
      <c r="L12" s="10" t="inlineStr">
        <is>
          <t>Ferro fundido / 316L</t>
        </is>
      </c>
      <c r="M12" s="10" t="inlineStr">
        <is>
          <t>Duty/Standby</t>
        </is>
      </c>
    </row>
    <row r="13">
      <c r="A13" s="10" t="inlineStr"/>
      <c r="B13" s="10" t="inlineStr">
        <is>
          <t>P-106</t>
        </is>
      </c>
      <c r="C13" s="10" t="inlineStr">
        <is>
          <t>Reservatório Água → C-101 Topo</t>
        </is>
      </c>
      <c r="D13" s="10" t="inlineStr">
        <is>
          <t>Água industrial (20°C)</t>
        </is>
      </c>
      <c r="E13" s="10" t="n">
        <v>998</v>
      </c>
      <c r="F13" s="10" t="n">
        <v>0.001003</v>
      </c>
      <c r="G13" s="10" t="n">
        <v>1221.6</v>
      </c>
      <c r="H13" s="10" t="n">
        <v>7.28</v>
      </c>
      <c r="I13" s="11" t="n">
        <v>900</v>
      </c>
      <c r="J13" s="10" t="n">
        <v>0.68</v>
      </c>
      <c r="K13" s="10" t="inlineStr">
        <is>
          <t>Centrífuga multi-estágio</t>
        </is>
      </c>
      <c r="L13" s="10" t="inlineStr">
        <is>
          <t>Ferro fundido / 316L</t>
        </is>
      </c>
      <c r="M13" s="10" t="inlineStr">
        <is>
          <t>Simplex (3-4 estágios)</t>
        </is>
      </c>
    </row>
    <row r="14">
      <c r="A14" s="10" t="inlineStr"/>
      <c r="B14" s="10" t="inlineStr">
        <is>
          <t>P-107</t>
        </is>
      </c>
      <c r="C14" s="10" t="inlineStr">
        <is>
          <t>Efluente C-101 → Flash V-101</t>
        </is>
      </c>
      <c r="D14" s="10" t="inlineStr">
        <is>
          <t>Água + CO₂ dissolvido (pH~5)</t>
        </is>
      </c>
      <c r="E14" s="10" t="n">
        <v>1002</v>
      </c>
      <c r="F14" s="10" t="n">
        <v>0.00101</v>
      </c>
      <c r="G14" s="10" t="n">
        <v>1221.6</v>
      </c>
      <c r="H14" s="12" t="n">
        <v>-0.3</v>
      </c>
      <c r="I14" s="10" t="n">
        <v>0</v>
      </c>
      <c r="J14" s="10" t="n">
        <v>0.7</v>
      </c>
      <c r="K14" s="10" t="inlineStr">
        <is>
          <t>Centrífuga standard / VRP</t>
        </is>
      </c>
      <c r="L14" s="10" t="inlineStr">
        <is>
          <t>316L</t>
        </is>
      </c>
      <c r="M14" s="10" t="inlineStr">
        <is>
          <t>Booster segurança</t>
        </is>
      </c>
    </row>
    <row r="15">
      <c r="A15" s="10" t="inlineStr"/>
      <c r="B15" s="10" t="inlineStr">
        <is>
          <t>P-108</t>
        </is>
      </c>
      <c r="C15" s="10" t="inlineStr">
        <is>
          <t>Digestato BIO → Armazenamento</t>
        </is>
      </c>
      <c r="D15" s="10" t="inlineStr">
        <is>
          <t>Digestato (lama digerida)</t>
        </is>
      </c>
      <c r="E15" s="10" t="n">
        <v>1015</v>
      </c>
      <c r="F15" s="10" t="n">
        <v>0.03</v>
      </c>
      <c r="G15" s="10" t="n">
        <v>425</v>
      </c>
      <c r="H15" s="12" t="n">
        <v>-8.24</v>
      </c>
      <c r="I15" s="10" t="n">
        <v>0</v>
      </c>
      <c r="J15" s="10" t="n">
        <v>0.55</v>
      </c>
      <c r="K15" s="10" t="inlineStr">
        <is>
          <t>Moineau / Peristáltica</t>
        </is>
      </c>
      <c r="L15" s="10" t="inlineStr">
        <is>
          <t>PEAD / Aço carbono revestido</t>
        </is>
      </c>
      <c r="M15" s="10" t="inlineStr">
        <is>
          <t>Booster / Gravidade</t>
        </is>
      </c>
    </row>
    <row r="18">
      <c r="B18" s="3" t="inlineStr">
        <is>
          <t>LEGENDA:</t>
        </is>
      </c>
    </row>
    <row r="19">
      <c r="B19" s="4" t="inlineStr"/>
      <c r="C19" s="13" t="inlineStr">
        <is>
          <t>Amarelo = caso especial (viscosidade muito alta ou alta pressão)</t>
        </is>
      </c>
    </row>
    <row r="20">
      <c r="C20" s="14" t="inlineStr">
        <is>
          <t>Verde = H_geo negativo (escoamento por gravidade possível)</t>
        </is>
      </c>
    </row>
    <row r="22">
      <c r="B22" s="3" t="inlineStr">
        <is>
          <t>CONSTANTES:</t>
        </is>
      </c>
    </row>
    <row r="23">
      <c r="B23" s="7" t="inlineStr">
        <is>
          <t>g</t>
        </is>
      </c>
      <c r="C23" s="3" t="inlineStr">
        <is>
          <t>9.81 m/s²</t>
        </is>
      </c>
      <c r="D23" s="8" t="inlineStr">
        <is>
          <t>Aceleração da gravidade</t>
        </is>
      </c>
    </row>
    <row r="24">
      <c r="B24" s="7" t="inlineStr">
        <is>
          <t>P_atm</t>
        </is>
      </c>
      <c r="C24" s="3" t="inlineStr">
        <is>
          <t>101.325 kPa</t>
        </is>
      </c>
      <c r="D24" s="8" t="inlineStr">
        <is>
          <t>Pressão atmosférica padrão</t>
        </is>
      </c>
    </row>
    <row r="25">
      <c r="B25" s="7" t="inlineStr">
        <is>
          <t>FS</t>
        </is>
      </c>
      <c r="C25" s="3" t="inlineStr">
        <is>
          <t>1.15</t>
        </is>
      </c>
      <c r="D25" s="8" t="inlineStr">
        <is>
          <t>Fator de serviço (15% margem)</t>
        </is>
      </c>
    </row>
    <row r="26">
      <c r="B26" s="7" t="inlineStr">
        <is>
          <t>η_motor</t>
        </is>
      </c>
      <c r="C26" s="3" t="inlineStr">
        <is>
          <t>0.93</t>
        </is>
      </c>
      <c r="D26" s="8" t="inlineStr">
        <is>
          <t>Rendimento motor IE3 (NBR IEC 60034-30)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8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5" customWidth="1" min="8" max="8"/>
  </cols>
  <sheetData>
    <row r="2">
      <c r="B2" s="1" t="inlineStr">
        <is>
          <t>CÁLCULOS DETALHADOS — DIMENSIONAMENTO PASSO A PASSO</t>
        </is>
      </c>
    </row>
    <row r="4">
      <c r="B4" s="3" t="inlineStr">
        <is>
          <t>Procedimento para CADA bomba:</t>
        </is>
      </c>
    </row>
    <row r="5">
      <c r="B5" s="4" t="inlineStr">
        <is>
          <t>Passo 1: Converter vazão Q [m³/d] → Q [m³/s] = Q/(86400)</t>
        </is>
      </c>
    </row>
    <row r="6">
      <c r="B6" s="4" t="inlineStr">
        <is>
          <t>Passo 2: Calcular H_pressão = ΔP / (ρ × g)</t>
        </is>
      </c>
    </row>
    <row r="7">
      <c r="B7" s="4" t="inlineStr">
        <is>
          <t>Passo 3: H_geo efetivo = max(H_geo, 0)</t>
        </is>
      </c>
    </row>
    <row r="8">
      <c r="B8" s="4" t="inlineStr">
        <is>
          <t>Passo 4: H_perda = 0.20 × (H_geo_eff + H_pressão)</t>
        </is>
      </c>
    </row>
    <row r="9">
      <c r="B9" s="4" t="inlineStr">
        <is>
          <t>Passo 5: H_m = H_geo_eff + H_pressão + H_perda</t>
        </is>
      </c>
    </row>
    <row r="10">
      <c r="B10" s="4" t="inlineStr">
        <is>
          <t>Passo 6: P_hid = ρ × g × Q × H_m  [converter para kW: /1000]</t>
        </is>
      </c>
    </row>
    <row r="11">
      <c r="B11" s="4" t="inlineStr">
        <is>
          <t>Passo 7: P_eixo = P_hid / η_bomba</t>
        </is>
      </c>
    </row>
    <row r="12">
      <c r="B12" s="4" t="inlineStr">
        <is>
          <t>Passo 8: P_motor = P_eixo / η_motor</t>
        </is>
      </c>
    </row>
    <row r="13">
      <c r="B13" s="4" t="inlineStr">
        <is>
          <t>Passo 9: P_instalada = P_motor × FS</t>
        </is>
      </c>
    </row>
    <row r="16">
      <c r="B16" s="15" t="inlineStr">
        <is>
          <t>═══ P-101 A/B — Lodo ETE Los Angeles → TQ-01 ═══</t>
        </is>
      </c>
    </row>
    <row r="17">
      <c r="B17" s="3" t="inlineStr">
        <is>
          <t>Fluido:</t>
        </is>
      </c>
      <c r="C17" s="4" t="inlineStr">
        <is>
          <t>Lodo de ETE (2-5% ST)</t>
        </is>
      </c>
      <c r="E17" s="3" t="inlineStr">
        <is>
          <t>Tipo bomba:</t>
        </is>
      </c>
      <c r="F17" s="4" t="inlineStr">
        <is>
          <t>Centrífuga canal aberto</t>
        </is>
      </c>
    </row>
    <row r="18">
      <c r="B18" s="3" t="inlineStr">
        <is>
          <t>Observação:</t>
        </is>
      </c>
      <c r="C18" s="8" t="inlineStr">
        <is>
          <t>Impelidor aberto (sólidos). Processo contínuo.</t>
        </is>
      </c>
    </row>
    <row r="20">
      <c r="A20" s="9" t="inlineStr"/>
      <c r="B20" s="9" t="inlineStr">
        <is>
          <t>Etapa</t>
        </is>
      </c>
      <c r="C20" s="9" t="inlineStr">
        <is>
          <t>Fórmula</t>
        </is>
      </c>
      <c r="D20" s="9" t="inlineStr">
        <is>
          <t>Substituição</t>
        </is>
      </c>
      <c r="E20" s="9" t="inlineStr">
        <is>
          <t>Resultado</t>
        </is>
      </c>
      <c r="F20" s="9" t="inlineStr">
        <is>
          <t>Unidade</t>
        </is>
      </c>
      <c r="G20" s="9" t="inlineStr">
        <is>
          <t>Referência</t>
        </is>
      </c>
    </row>
    <row r="21">
      <c r="A21" s="10" t="inlineStr"/>
      <c r="B21" s="10" t="inlineStr">
        <is>
          <t>Vazão Q</t>
        </is>
      </c>
      <c r="C21" s="10" t="inlineStr">
        <is>
          <t>Q = Q_m3d / 86400</t>
        </is>
      </c>
      <c r="D21" s="10" t="inlineStr">
        <is>
          <t>320.0 / 86400</t>
        </is>
      </c>
      <c r="E21" s="10" t="inlineStr">
        <is>
          <t>0.003704</t>
        </is>
      </c>
      <c r="F21" s="10" t="inlineStr">
        <is>
          <t>m³/s</t>
        </is>
      </c>
      <c r="G21" s="10" t="inlineStr">
        <is>
          <t>Conversão</t>
        </is>
      </c>
    </row>
    <row r="22">
      <c r="A22" s="10" t="inlineStr"/>
      <c r="B22" s="10" t="inlineStr">
        <is>
          <t>Vazão Q (alt.)</t>
        </is>
      </c>
      <c r="C22" s="10" t="inlineStr">
        <is>
          <t>Q = Q_m3d / 24</t>
        </is>
      </c>
      <c r="D22" s="10" t="inlineStr">
        <is>
          <t>320.0 / 24</t>
        </is>
      </c>
      <c r="E22" s="10" t="inlineStr">
        <is>
          <t>13.33</t>
        </is>
      </c>
      <c r="F22" s="10" t="inlineStr">
        <is>
          <t>m³/h</t>
        </is>
      </c>
      <c r="G22" s="10" t="inlineStr">
        <is>
          <t>Conversão</t>
        </is>
      </c>
    </row>
    <row r="23">
      <c r="A23" s="10" t="inlineStr"/>
      <c r="B23" s="10" t="inlineStr">
        <is>
          <t>H_pressão</t>
        </is>
      </c>
      <c r="C23" s="10" t="inlineStr">
        <is>
          <t>ΔP / (ρ×g)</t>
        </is>
      </c>
      <c r="D23" s="10" t="inlineStr">
        <is>
          <t>0 / (1020.0×9.81)</t>
        </is>
      </c>
      <c r="E23" s="10" t="inlineStr">
        <is>
          <t>0.00</t>
        </is>
      </c>
      <c r="F23" s="10" t="inlineStr">
        <is>
          <t>m</t>
        </is>
      </c>
      <c r="G23" s="10" t="inlineStr">
        <is>
          <t>Franzini (1994)</t>
        </is>
      </c>
    </row>
    <row r="24">
      <c r="A24" s="10" t="inlineStr"/>
      <c r="B24" s="10" t="inlineStr">
        <is>
          <t>H_geo (efetivo)</t>
        </is>
      </c>
      <c r="C24" s="10" t="inlineStr">
        <is>
          <t>max(H_geo, 0)</t>
        </is>
      </c>
      <c r="D24" s="10" t="inlineStr">
        <is>
          <t>max(1.50, 0)</t>
        </is>
      </c>
      <c r="E24" s="10" t="inlineStr">
        <is>
          <t>1.50</t>
        </is>
      </c>
      <c r="F24" s="10" t="inlineStr">
        <is>
          <t>m</t>
        </is>
      </c>
      <c r="G24" s="10" t="inlineStr">
        <is>
          <t>PFD (cotas)</t>
        </is>
      </c>
    </row>
    <row r="25">
      <c r="A25" s="10" t="inlineStr"/>
      <c r="B25" s="10" t="inlineStr">
        <is>
          <t>H_perda</t>
        </is>
      </c>
      <c r="C25" s="10" t="inlineStr">
        <is>
          <t>0.20×(H_geo+H_press)</t>
        </is>
      </c>
      <c r="D25" s="10" t="inlineStr">
        <is>
          <t>0.20×(1.50+0.00)</t>
        </is>
      </c>
      <c r="E25" s="10" t="inlineStr">
        <is>
          <t>0.30</t>
        </is>
      </c>
      <c r="F25" s="10" t="inlineStr">
        <is>
          <t>m</t>
        </is>
      </c>
      <c r="G25" s="10" t="inlineStr">
        <is>
          <t>Heurística 20%</t>
        </is>
      </c>
    </row>
    <row r="26">
      <c r="A26" s="10" t="inlineStr"/>
      <c r="B26" s="16" t="inlineStr">
        <is>
          <t>H_m TOTAL</t>
        </is>
      </c>
      <c r="C26" s="16" t="inlineStr">
        <is>
          <t>H_geo + H_press + H_perda</t>
        </is>
      </c>
      <c r="D26" s="16" t="inlineStr">
        <is>
          <t>1.50+0.00+0.30</t>
        </is>
      </c>
      <c r="E26" s="16" t="inlineStr">
        <is>
          <t>1.80</t>
        </is>
      </c>
      <c r="F26" s="16" t="inlineStr">
        <is>
          <t>m</t>
        </is>
      </c>
      <c r="G26" s="16" t="inlineStr">
        <is>
          <t>—</t>
        </is>
      </c>
    </row>
    <row r="27">
      <c r="A27" s="10" t="inlineStr"/>
      <c r="B27" s="10" t="inlineStr">
        <is>
          <t>P_hidráulica</t>
        </is>
      </c>
      <c r="C27" s="10" t="inlineStr">
        <is>
          <t>ρ×g×Q×H_m /1000</t>
        </is>
      </c>
      <c r="D27" s="10" t="inlineStr">
        <is>
          <t>1020.0×9.81×0.00370×1.80/1000</t>
        </is>
      </c>
      <c r="E27" s="10" t="inlineStr">
        <is>
          <t>0.0667</t>
        </is>
      </c>
      <c r="F27" s="10" t="inlineStr">
        <is>
          <t>kW</t>
        </is>
      </c>
      <c r="G27" s="10" t="inlineStr">
        <is>
          <t>Franzini (1994)</t>
        </is>
      </c>
    </row>
    <row r="28">
      <c r="A28" s="10" t="inlineStr"/>
      <c r="B28" s="10" t="inlineStr">
        <is>
          <t>P_eixo</t>
        </is>
      </c>
      <c r="C28" s="10" t="inlineStr">
        <is>
          <t>P_hid / η_bomba</t>
        </is>
      </c>
      <c r="D28" s="10" t="inlineStr">
        <is>
          <t>0.0667 / 0.6</t>
        </is>
      </c>
      <c r="E28" s="10" t="inlineStr">
        <is>
          <t>0.1112</t>
        </is>
      </c>
      <c r="F28" s="10" t="inlineStr">
        <is>
          <t>kW</t>
        </is>
      </c>
      <c r="G28" s="10" t="inlineStr">
        <is>
          <t>Karassik (2001)</t>
        </is>
      </c>
    </row>
    <row r="29">
      <c r="A29" s="10" t="inlineStr"/>
      <c r="B29" s="10" t="inlineStr">
        <is>
          <t>P_motor</t>
        </is>
      </c>
      <c r="C29" s="10" t="inlineStr">
        <is>
          <t>P_eixo / η_motor</t>
        </is>
      </c>
      <c r="D29" s="10" t="inlineStr">
        <is>
          <t>0.1112 / 0.93</t>
        </is>
      </c>
      <c r="E29" s="10" t="inlineStr">
        <is>
          <t>0.1195</t>
        </is>
      </c>
      <c r="F29" s="10" t="inlineStr">
        <is>
          <t>kW</t>
        </is>
      </c>
      <c r="G29" s="10" t="inlineStr">
        <is>
          <t>NBR IEC 60034</t>
        </is>
      </c>
    </row>
    <row r="30">
      <c r="A30" s="10" t="inlineStr"/>
      <c r="B30" s="16" t="inlineStr">
        <is>
          <t>P_INSTALADA</t>
        </is>
      </c>
      <c r="C30" s="16" t="inlineStr">
        <is>
          <t>P_motor × FS</t>
        </is>
      </c>
      <c r="D30" s="16" t="inlineStr">
        <is>
          <t>0.1195 × 1.15</t>
        </is>
      </c>
      <c r="E30" s="16" t="inlineStr">
        <is>
          <t>0.137</t>
        </is>
      </c>
      <c r="F30" s="16" t="inlineStr">
        <is>
          <t>kW</t>
        </is>
      </c>
      <c r="G30" s="16" t="inlineStr">
        <is>
          <t>Prática indust.</t>
        </is>
      </c>
    </row>
    <row r="32">
      <c r="B32" s="3" t="inlineStr">
        <is>
          <t>VERIFICAÇÕES:</t>
        </is>
      </c>
    </row>
    <row r="33">
      <c r="B33" s="4" t="inlineStr">
        <is>
          <t xml:space="preserve">  Re = 1716 → Laminar</t>
        </is>
      </c>
      <c r="E33" s="4" t="inlineStr">
        <is>
          <t>v ≈ 1.50 m/s</t>
        </is>
      </c>
      <c r="F33" s="4" t="inlineStr">
        <is>
          <t>D_est ≈ 56 mm</t>
        </is>
      </c>
    </row>
    <row r="34">
      <c r="B34" s="4" t="inlineStr">
        <is>
          <t xml:space="preserve">  NPSHd = 10.6 m &gt; 3.5 m (NPSHr+0.5)</t>
        </is>
      </c>
      <c r="E34" s="17" t="inlineStr">
        <is>
          <t>✓ OK — Sem risco de cavitação</t>
        </is>
      </c>
    </row>
    <row r="37">
      <c r="B37" s="15" t="inlineStr">
        <is>
          <t>═══ P-102 A/B — Lodo ETE Imbirussu → TQ-01 ═══</t>
        </is>
      </c>
    </row>
    <row r="38">
      <c r="B38" s="3" t="inlineStr">
        <is>
          <t>Fluido:</t>
        </is>
      </c>
      <c r="C38" s="4" t="inlineStr">
        <is>
          <t>Lodo de ETE (2-5% ST)</t>
        </is>
      </c>
      <c r="E38" s="3" t="inlineStr">
        <is>
          <t>Tipo bomba:</t>
        </is>
      </c>
      <c r="F38" s="4" t="inlineStr">
        <is>
          <t>Centrífuga canal aberto</t>
        </is>
      </c>
    </row>
    <row r="39">
      <c r="B39" s="3" t="inlineStr">
        <is>
          <t>Observação:</t>
        </is>
      </c>
      <c r="C39" s="8" t="inlineStr">
        <is>
          <t>Mesma lógica P-101, menor vazão.</t>
        </is>
      </c>
    </row>
    <row r="41">
      <c r="A41" s="9" t="inlineStr"/>
      <c r="B41" s="9" t="inlineStr">
        <is>
          <t>Etapa</t>
        </is>
      </c>
      <c r="C41" s="9" t="inlineStr">
        <is>
          <t>Fórmula</t>
        </is>
      </c>
      <c r="D41" s="9" t="inlineStr">
        <is>
          <t>Substituição</t>
        </is>
      </c>
      <c r="E41" s="9" t="inlineStr">
        <is>
          <t>Resultado</t>
        </is>
      </c>
      <c r="F41" s="9" t="inlineStr">
        <is>
          <t>Unidade</t>
        </is>
      </c>
      <c r="G41" s="9" t="inlineStr">
        <is>
          <t>Referência</t>
        </is>
      </c>
    </row>
    <row r="42">
      <c r="A42" s="10" t="inlineStr"/>
      <c r="B42" s="10" t="inlineStr">
        <is>
          <t>Vazão Q</t>
        </is>
      </c>
      <c r="C42" s="10" t="inlineStr">
        <is>
          <t>Q = Q_m3d / 86400</t>
        </is>
      </c>
      <c r="D42" s="10" t="inlineStr">
        <is>
          <t>80.0 / 86400</t>
        </is>
      </c>
      <c r="E42" s="10" t="inlineStr">
        <is>
          <t>0.000926</t>
        </is>
      </c>
      <c r="F42" s="10" t="inlineStr">
        <is>
          <t>m³/s</t>
        </is>
      </c>
      <c r="G42" s="10" t="inlineStr">
        <is>
          <t>Conversão</t>
        </is>
      </c>
    </row>
    <row r="43">
      <c r="A43" s="10" t="inlineStr"/>
      <c r="B43" s="10" t="inlineStr">
        <is>
          <t>Vazão Q (alt.)</t>
        </is>
      </c>
      <c r="C43" s="10" t="inlineStr">
        <is>
          <t>Q = Q_m3d / 24</t>
        </is>
      </c>
      <c r="D43" s="10" t="inlineStr">
        <is>
          <t>80.0 / 24</t>
        </is>
      </c>
      <c r="E43" s="10" t="inlineStr">
        <is>
          <t>3.33</t>
        </is>
      </c>
      <c r="F43" s="10" t="inlineStr">
        <is>
          <t>m³/h</t>
        </is>
      </c>
      <c r="G43" s="10" t="inlineStr">
        <is>
          <t>Conversão</t>
        </is>
      </c>
    </row>
    <row r="44">
      <c r="A44" s="10" t="inlineStr"/>
      <c r="B44" s="10" t="inlineStr">
        <is>
          <t>H_pressão</t>
        </is>
      </c>
      <c r="C44" s="10" t="inlineStr">
        <is>
          <t>ΔP / (ρ×g)</t>
        </is>
      </c>
      <c r="D44" s="10" t="inlineStr">
        <is>
          <t>0 / (1015.0×9.81)</t>
        </is>
      </c>
      <c r="E44" s="10" t="inlineStr">
        <is>
          <t>0.00</t>
        </is>
      </c>
      <c r="F44" s="10" t="inlineStr">
        <is>
          <t>m</t>
        </is>
      </c>
      <c r="G44" s="10" t="inlineStr">
        <is>
          <t>Franzini (1994)</t>
        </is>
      </c>
    </row>
    <row r="45">
      <c r="A45" s="10" t="inlineStr"/>
      <c r="B45" s="10" t="inlineStr">
        <is>
          <t>H_geo (efetivo)</t>
        </is>
      </c>
      <c r="C45" s="10" t="inlineStr">
        <is>
          <t>max(H_geo, 0)</t>
        </is>
      </c>
      <c r="D45" s="10" t="inlineStr">
        <is>
          <t>max(1.50, 0)</t>
        </is>
      </c>
      <c r="E45" s="10" t="inlineStr">
        <is>
          <t>1.50</t>
        </is>
      </c>
      <c r="F45" s="10" t="inlineStr">
        <is>
          <t>m</t>
        </is>
      </c>
      <c r="G45" s="10" t="inlineStr">
        <is>
          <t>PFD (cotas)</t>
        </is>
      </c>
    </row>
    <row r="46">
      <c r="A46" s="10" t="inlineStr"/>
      <c r="B46" s="10" t="inlineStr">
        <is>
          <t>H_perda</t>
        </is>
      </c>
      <c r="C46" s="10" t="inlineStr">
        <is>
          <t>0.20×(H_geo+H_press)</t>
        </is>
      </c>
      <c r="D46" s="10" t="inlineStr">
        <is>
          <t>0.20×(1.50+0.00)</t>
        </is>
      </c>
      <c r="E46" s="10" t="inlineStr">
        <is>
          <t>0.30</t>
        </is>
      </c>
      <c r="F46" s="10" t="inlineStr">
        <is>
          <t>m</t>
        </is>
      </c>
      <c r="G46" s="10" t="inlineStr">
        <is>
          <t>Heurística 20%</t>
        </is>
      </c>
    </row>
    <row r="47">
      <c r="A47" s="10" t="inlineStr"/>
      <c r="B47" s="16" t="inlineStr">
        <is>
          <t>H_m TOTAL</t>
        </is>
      </c>
      <c r="C47" s="16" t="inlineStr">
        <is>
          <t>H_geo + H_press + H_perda</t>
        </is>
      </c>
      <c r="D47" s="16" t="inlineStr">
        <is>
          <t>1.50+0.00+0.30</t>
        </is>
      </c>
      <c r="E47" s="16" t="inlineStr">
        <is>
          <t>1.80</t>
        </is>
      </c>
      <c r="F47" s="16" t="inlineStr">
        <is>
          <t>m</t>
        </is>
      </c>
      <c r="G47" s="16" t="inlineStr">
        <is>
          <t>—</t>
        </is>
      </c>
    </row>
    <row r="48">
      <c r="A48" s="10" t="inlineStr"/>
      <c r="B48" s="10" t="inlineStr">
        <is>
          <t>P_hidráulica</t>
        </is>
      </c>
      <c r="C48" s="10" t="inlineStr">
        <is>
          <t>ρ×g×Q×H_m /1000</t>
        </is>
      </c>
      <c r="D48" s="10" t="inlineStr">
        <is>
          <t>1015.0×9.81×0.00093×1.80/1000</t>
        </is>
      </c>
      <c r="E48" s="10" t="inlineStr">
        <is>
          <t>0.0166</t>
        </is>
      </c>
      <c r="F48" s="10" t="inlineStr">
        <is>
          <t>kW</t>
        </is>
      </c>
      <c r="G48" s="10" t="inlineStr">
        <is>
          <t>Franzini (1994)</t>
        </is>
      </c>
    </row>
    <row r="49">
      <c r="A49" s="10" t="inlineStr"/>
      <c r="B49" s="10" t="inlineStr">
        <is>
          <t>P_eixo</t>
        </is>
      </c>
      <c r="C49" s="10" t="inlineStr">
        <is>
          <t>P_hid / η_bomba</t>
        </is>
      </c>
      <c r="D49" s="10" t="inlineStr">
        <is>
          <t>0.0166 / 0.6</t>
        </is>
      </c>
      <c r="E49" s="10" t="inlineStr">
        <is>
          <t>0.0277</t>
        </is>
      </c>
      <c r="F49" s="10" t="inlineStr">
        <is>
          <t>kW</t>
        </is>
      </c>
      <c r="G49" s="10" t="inlineStr">
        <is>
          <t>Karassik (2001)</t>
        </is>
      </c>
    </row>
    <row r="50">
      <c r="A50" s="10" t="inlineStr"/>
      <c r="B50" s="10" t="inlineStr">
        <is>
          <t>P_motor</t>
        </is>
      </c>
      <c r="C50" s="10" t="inlineStr">
        <is>
          <t>P_eixo / η_motor</t>
        </is>
      </c>
      <c r="D50" s="10" t="inlineStr">
        <is>
          <t>0.0277 / 0.93</t>
        </is>
      </c>
      <c r="E50" s="10" t="inlineStr">
        <is>
          <t>0.0297</t>
        </is>
      </c>
      <c r="F50" s="10" t="inlineStr">
        <is>
          <t>kW</t>
        </is>
      </c>
      <c r="G50" s="10" t="inlineStr">
        <is>
          <t>NBR IEC 60034</t>
        </is>
      </c>
    </row>
    <row r="51">
      <c r="A51" s="10" t="inlineStr"/>
      <c r="B51" s="16" t="inlineStr">
        <is>
          <t>P_INSTALADA</t>
        </is>
      </c>
      <c r="C51" s="16" t="inlineStr">
        <is>
          <t>P_motor × FS</t>
        </is>
      </c>
      <c r="D51" s="16" t="inlineStr">
        <is>
          <t>0.0297 × 1.15</t>
        </is>
      </c>
      <c r="E51" s="16" t="inlineStr">
        <is>
          <t>0.034</t>
        </is>
      </c>
      <c r="F51" s="16" t="inlineStr">
        <is>
          <t>kW</t>
        </is>
      </c>
      <c r="G51" s="16" t="inlineStr">
        <is>
          <t>Prática indust.</t>
        </is>
      </c>
    </row>
    <row r="53">
      <c r="B53" s="3" t="inlineStr">
        <is>
          <t>VERIFICAÇÕES:</t>
        </is>
      </c>
    </row>
    <row r="54">
      <c r="B54" s="4" t="inlineStr">
        <is>
          <t xml:space="preserve">  Re = 854 → Laminar</t>
        </is>
      </c>
      <c r="E54" s="4" t="inlineStr">
        <is>
          <t>v ≈ 1.50 m/s</t>
        </is>
      </c>
      <c r="F54" s="4" t="inlineStr">
        <is>
          <t>D_est ≈ 28 mm</t>
        </is>
      </c>
    </row>
    <row r="55">
      <c r="B55" s="4" t="inlineStr">
        <is>
          <t xml:space="preserve">  NPSHd = 10.7 m &gt; 3.5 m (NPSHr+0.5)</t>
        </is>
      </c>
      <c r="E55" s="17" t="inlineStr">
        <is>
          <t>✓ OK — Sem risco de cavitação</t>
        </is>
      </c>
    </row>
    <row r="58">
      <c r="B58" s="15" t="inlineStr">
        <is>
          <t>═══ P-103 — Vinhaça 2G → TQ-02 ═══</t>
        </is>
      </c>
    </row>
    <row r="59">
      <c r="B59" s="3" t="inlineStr">
        <is>
          <t>Fluido:</t>
        </is>
      </c>
      <c r="C59" s="4" t="inlineStr">
        <is>
          <t>Vinhaça 2ª geração (pH 3-5)</t>
        </is>
      </c>
      <c r="E59" s="3" t="inlineStr">
        <is>
          <t>Tipo bomba:</t>
        </is>
      </c>
      <c r="F59" s="4" t="inlineStr">
        <is>
          <t>Centrífuga standard</t>
        </is>
      </c>
    </row>
    <row r="60">
      <c r="B60" s="3" t="inlineStr">
        <is>
          <t>Observação:</t>
        </is>
      </c>
      <c r="C60" s="8" t="inlineStr">
        <is>
          <t>Fluido ácido → 316L obrigatório.</t>
        </is>
      </c>
    </row>
    <row r="62">
      <c r="A62" s="9" t="inlineStr"/>
      <c r="B62" s="9" t="inlineStr">
        <is>
          <t>Etapa</t>
        </is>
      </c>
      <c r="C62" s="9" t="inlineStr">
        <is>
          <t>Fórmula</t>
        </is>
      </c>
      <c r="D62" s="9" t="inlineStr">
        <is>
          <t>Substituição</t>
        </is>
      </c>
      <c r="E62" s="9" t="inlineStr">
        <is>
          <t>Resultado</t>
        </is>
      </c>
      <c r="F62" s="9" t="inlineStr">
        <is>
          <t>Unidade</t>
        </is>
      </c>
      <c r="G62" s="9" t="inlineStr">
        <is>
          <t>Referência</t>
        </is>
      </c>
    </row>
    <row r="63">
      <c r="A63" s="10" t="inlineStr"/>
      <c r="B63" s="10" t="inlineStr">
        <is>
          <t>Vazão Q</t>
        </is>
      </c>
      <c r="C63" s="10" t="inlineStr">
        <is>
          <t>Q = Q_m3d / 86400</t>
        </is>
      </c>
      <c r="D63" s="10" t="inlineStr">
        <is>
          <t>50.0 / 86400</t>
        </is>
      </c>
      <c r="E63" s="10" t="inlineStr">
        <is>
          <t>0.000579</t>
        </is>
      </c>
      <c r="F63" s="10" t="inlineStr">
        <is>
          <t>m³/s</t>
        </is>
      </c>
      <c r="G63" s="10" t="inlineStr">
        <is>
          <t>Conversão</t>
        </is>
      </c>
    </row>
    <row r="64">
      <c r="A64" s="10" t="inlineStr"/>
      <c r="B64" s="10" t="inlineStr">
        <is>
          <t>Vazão Q (alt.)</t>
        </is>
      </c>
      <c r="C64" s="10" t="inlineStr">
        <is>
          <t>Q = Q_m3d / 24</t>
        </is>
      </c>
      <c r="D64" s="10" t="inlineStr">
        <is>
          <t>50.0 / 24</t>
        </is>
      </c>
      <c r="E64" s="10" t="inlineStr">
        <is>
          <t>2.08</t>
        </is>
      </c>
      <c r="F64" s="10" t="inlineStr">
        <is>
          <t>m³/h</t>
        </is>
      </c>
      <c r="G64" s="10" t="inlineStr">
        <is>
          <t>Conversão</t>
        </is>
      </c>
    </row>
    <row r="65">
      <c r="A65" s="10" t="inlineStr"/>
      <c r="B65" s="10" t="inlineStr">
        <is>
          <t>H_pressão</t>
        </is>
      </c>
      <c r="C65" s="10" t="inlineStr">
        <is>
          <t>ΔP / (ρ×g)</t>
        </is>
      </c>
      <c r="D65" s="10" t="inlineStr">
        <is>
          <t>0 / (1050.0×9.81)</t>
        </is>
      </c>
      <c r="E65" s="10" t="inlineStr">
        <is>
          <t>0.00</t>
        </is>
      </c>
      <c r="F65" s="10" t="inlineStr">
        <is>
          <t>m</t>
        </is>
      </c>
      <c r="G65" s="10" t="inlineStr">
        <is>
          <t>Franzini (1994)</t>
        </is>
      </c>
    </row>
    <row r="66">
      <c r="A66" s="10" t="inlineStr"/>
      <c r="B66" s="10" t="inlineStr">
        <is>
          <t>H_geo (efetivo)</t>
        </is>
      </c>
      <c r="C66" s="10" t="inlineStr">
        <is>
          <t>max(H_geo, 0)</t>
        </is>
      </c>
      <c r="D66" s="10" t="inlineStr">
        <is>
          <t>max(1.20, 0)</t>
        </is>
      </c>
      <c r="E66" s="10" t="inlineStr">
        <is>
          <t>1.20</t>
        </is>
      </c>
      <c r="F66" s="10" t="inlineStr">
        <is>
          <t>m</t>
        </is>
      </c>
      <c r="G66" s="10" t="inlineStr">
        <is>
          <t>PFD (cotas)</t>
        </is>
      </c>
    </row>
    <row r="67">
      <c r="A67" s="10" t="inlineStr"/>
      <c r="B67" s="10" t="inlineStr">
        <is>
          <t>H_perda</t>
        </is>
      </c>
      <c r="C67" s="10" t="inlineStr">
        <is>
          <t>0.20×(H_geo+H_press)</t>
        </is>
      </c>
      <c r="D67" s="10" t="inlineStr">
        <is>
          <t>0.20×(1.20+0.00)</t>
        </is>
      </c>
      <c r="E67" s="10" t="inlineStr">
        <is>
          <t>0.24</t>
        </is>
      </c>
      <c r="F67" s="10" t="inlineStr">
        <is>
          <t>m</t>
        </is>
      </c>
      <c r="G67" s="10" t="inlineStr">
        <is>
          <t>Heurística 20%</t>
        </is>
      </c>
    </row>
    <row r="68">
      <c r="A68" s="10" t="inlineStr"/>
      <c r="B68" s="16" t="inlineStr">
        <is>
          <t>H_m TOTAL</t>
        </is>
      </c>
      <c r="C68" s="16" t="inlineStr">
        <is>
          <t>H_geo + H_press + H_perda</t>
        </is>
      </c>
      <c r="D68" s="16" t="inlineStr">
        <is>
          <t>1.20+0.00+0.24</t>
        </is>
      </c>
      <c r="E68" s="16" t="inlineStr">
        <is>
          <t>1.44</t>
        </is>
      </c>
      <c r="F68" s="16" t="inlineStr">
        <is>
          <t>m</t>
        </is>
      </c>
      <c r="G68" s="16" t="inlineStr">
        <is>
          <t>—</t>
        </is>
      </c>
    </row>
    <row r="69">
      <c r="A69" s="10" t="inlineStr"/>
      <c r="B69" s="10" t="inlineStr">
        <is>
          <t>P_hidráulica</t>
        </is>
      </c>
      <c r="C69" s="10" t="inlineStr">
        <is>
          <t>ρ×g×Q×H_m /1000</t>
        </is>
      </c>
      <c r="D69" s="10" t="inlineStr">
        <is>
          <t>1050.0×9.81×0.00058×1.44/1000</t>
        </is>
      </c>
      <c r="E69" s="10" t="inlineStr">
        <is>
          <t>0.0086</t>
        </is>
      </c>
      <c r="F69" s="10" t="inlineStr">
        <is>
          <t>kW</t>
        </is>
      </c>
      <c r="G69" s="10" t="inlineStr">
        <is>
          <t>Franzini (1994)</t>
        </is>
      </c>
    </row>
    <row r="70">
      <c r="A70" s="10" t="inlineStr"/>
      <c r="B70" s="10" t="inlineStr">
        <is>
          <t>P_eixo</t>
        </is>
      </c>
      <c r="C70" s="10" t="inlineStr">
        <is>
          <t>P_hid / η_bomba</t>
        </is>
      </c>
      <c r="D70" s="10" t="inlineStr">
        <is>
          <t>0.0086 / 0.7</t>
        </is>
      </c>
      <c r="E70" s="10" t="inlineStr">
        <is>
          <t>0.0123</t>
        </is>
      </c>
      <c r="F70" s="10" t="inlineStr">
        <is>
          <t>kW</t>
        </is>
      </c>
      <c r="G70" s="10" t="inlineStr">
        <is>
          <t>Karassik (2001)</t>
        </is>
      </c>
    </row>
    <row r="71">
      <c r="A71" s="10" t="inlineStr"/>
      <c r="B71" s="10" t="inlineStr">
        <is>
          <t>P_motor</t>
        </is>
      </c>
      <c r="C71" s="10" t="inlineStr">
        <is>
          <t>P_eixo / η_motor</t>
        </is>
      </c>
      <c r="D71" s="10" t="inlineStr">
        <is>
          <t>0.0123 / 0.93</t>
        </is>
      </c>
      <c r="E71" s="10" t="inlineStr">
        <is>
          <t>0.0132</t>
        </is>
      </c>
      <c r="F71" s="10" t="inlineStr">
        <is>
          <t>kW</t>
        </is>
      </c>
      <c r="G71" s="10" t="inlineStr">
        <is>
          <t>NBR IEC 60034</t>
        </is>
      </c>
    </row>
    <row r="72">
      <c r="A72" s="10" t="inlineStr"/>
      <c r="B72" s="16" t="inlineStr">
        <is>
          <t>P_INSTALADA</t>
        </is>
      </c>
      <c r="C72" s="16" t="inlineStr">
        <is>
          <t>P_motor × FS</t>
        </is>
      </c>
      <c r="D72" s="16" t="inlineStr">
        <is>
          <t>0.0132 × 1.15</t>
        </is>
      </c>
      <c r="E72" s="16" t="inlineStr">
        <is>
          <t>0.015</t>
        </is>
      </c>
      <c r="F72" s="16" t="inlineStr">
        <is>
          <t>kW</t>
        </is>
      </c>
      <c r="G72" s="16" t="inlineStr">
        <is>
          <t>Prática indust.</t>
        </is>
      </c>
    </row>
    <row r="74">
      <c r="B74" s="3" t="inlineStr">
        <is>
          <t>VERIFICAÇÕES:</t>
        </is>
      </c>
    </row>
    <row r="75">
      <c r="B75" s="4" t="inlineStr">
        <is>
          <t xml:space="preserve">  Re = 1745 → Laminar</t>
        </is>
      </c>
      <c r="E75" s="4" t="inlineStr">
        <is>
          <t>v ≈ 1.50 m/s</t>
        </is>
      </c>
      <c r="F75" s="4" t="inlineStr">
        <is>
          <t>D_est ≈ 22 mm</t>
        </is>
      </c>
    </row>
    <row r="76">
      <c r="B76" s="4" t="inlineStr">
        <is>
          <t xml:space="preserve">  NPSHd = 10.3 m &gt; 3.5 m (NPSHr+0.5)</t>
        </is>
      </c>
      <c r="E76" s="17" t="inlineStr">
        <is>
          <t>✓ OK — Sem risco de cavitação</t>
        </is>
      </c>
    </row>
    <row r="79">
      <c r="B79" s="15" t="inlineStr">
        <is>
          <t>═══ P-104 — Resíduo Orgânico → TQ-03 ═══</t>
        </is>
      </c>
    </row>
    <row r="80">
      <c r="B80" s="3" t="inlineStr">
        <is>
          <t>Fluido:</t>
        </is>
      </c>
      <c r="C80" s="4" t="inlineStr">
        <is>
          <t>Resíduo orgânico (10% ST)</t>
        </is>
      </c>
      <c r="E80" s="3" t="inlineStr">
        <is>
          <t>Tipo bomba:</t>
        </is>
      </c>
      <c r="F80" s="4" t="inlineStr">
        <is>
          <t>Cavidade progressiva (Moineau)</t>
        </is>
      </c>
    </row>
    <row r="81">
      <c r="B81" s="3" t="inlineStr">
        <is>
          <t>Observação:</t>
        </is>
      </c>
      <c r="C81" s="8" t="inlineStr">
        <is>
          <t>μ=0.8 Pa·s → LAMINAR. Centrífuga inadequada.</t>
        </is>
      </c>
    </row>
    <row r="83">
      <c r="A83" s="9" t="inlineStr"/>
      <c r="B83" s="9" t="inlineStr">
        <is>
          <t>Etapa</t>
        </is>
      </c>
      <c r="C83" s="9" t="inlineStr">
        <is>
          <t>Fórmula</t>
        </is>
      </c>
      <c r="D83" s="9" t="inlineStr">
        <is>
          <t>Substituição</t>
        </is>
      </c>
      <c r="E83" s="9" t="inlineStr">
        <is>
          <t>Resultado</t>
        </is>
      </c>
      <c r="F83" s="9" t="inlineStr">
        <is>
          <t>Unidade</t>
        </is>
      </c>
      <c r="G83" s="9" t="inlineStr">
        <is>
          <t>Referência</t>
        </is>
      </c>
    </row>
    <row r="84">
      <c r="A84" s="10" t="inlineStr"/>
      <c r="B84" s="10" t="inlineStr">
        <is>
          <t>Vazão Q</t>
        </is>
      </c>
      <c r="C84" s="10" t="inlineStr">
        <is>
          <t>Q = Q_m3d / 86400</t>
        </is>
      </c>
      <c r="D84" s="10" t="inlineStr">
        <is>
          <t>50.0 / 86400</t>
        </is>
      </c>
      <c r="E84" s="10" t="inlineStr">
        <is>
          <t>0.000579</t>
        </is>
      </c>
      <c r="F84" s="10" t="inlineStr">
        <is>
          <t>m³/s</t>
        </is>
      </c>
      <c r="G84" s="10" t="inlineStr">
        <is>
          <t>Conversão</t>
        </is>
      </c>
    </row>
    <row r="85">
      <c r="A85" s="10" t="inlineStr"/>
      <c r="B85" s="10" t="inlineStr">
        <is>
          <t>Vazão Q (alt.)</t>
        </is>
      </c>
      <c r="C85" s="10" t="inlineStr">
        <is>
          <t>Q = Q_m3d / 24</t>
        </is>
      </c>
      <c r="D85" s="10" t="inlineStr">
        <is>
          <t>50.0 / 24</t>
        </is>
      </c>
      <c r="E85" s="10" t="inlineStr">
        <is>
          <t>2.08</t>
        </is>
      </c>
      <c r="F85" s="10" t="inlineStr">
        <is>
          <t>m³/h</t>
        </is>
      </c>
      <c r="G85" s="10" t="inlineStr">
        <is>
          <t>Conversão</t>
        </is>
      </c>
    </row>
    <row r="86">
      <c r="A86" s="10" t="inlineStr"/>
      <c r="B86" s="10" t="inlineStr">
        <is>
          <t>H_pressão</t>
        </is>
      </c>
      <c r="C86" s="10" t="inlineStr">
        <is>
          <t>ΔP / (ρ×g)</t>
        </is>
      </c>
      <c r="D86" s="10" t="inlineStr">
        <is>
          <t>0 / (1080.0×9.81)</t>
        </is>
      </c>
      <c r="E86" s="10" t="inlineStr">
        <is>
          <t>0.00</t>
        </is>
      </c>
      <c r="F86" s="10" t="inlineStr">
        <is>
          <t>m</t>
        </is>
      </c>
      <c r="G86" s="10" t="inlineStr">
        <is>
          <t>Franzini (1994)</t>
        </is>
      </c>
    </row>
    <row r="87">
      <c r="A87" s="10" t="inlineStr"/>
      <c r="B87" s="10" t="inlineStr">
        <is>
          <t>H_geo (efetivo)</t>
        </is>
      </c>
      <c r="C87" s="10" t="inlineStr">
        <is>
          <t>max(H_geo, 0)</t>
        </is>
      </c>
      <c r="D87" s="10" t="inlineStr">
        <is>
          <t>max(1.20, 0)</t>
        </is>
      </c>
      <c r="E87" s="10" t="inlineStr">
        <is>
          <t>1.20</t>
        </is>
      </c>
      <c r="F87" s="10" t="inlineStr">
        <is>
          <t>m</t>
        </is>
      </c>
      <c r="G87" s="10" t="inlineStr">
        <is>
          <t>PFD (cotas)</t>
        </is>
      </c>
    </row>
    <row r="88">
      <c r="A88" s="10" t="inlineStr"/>
      <c r="B88" s="10" t="inlineStr">
        <is>
          <t>H_perda</t>
        </is>
      </c>
      <c r="C88" s="10" t="inlineStr">
        <is>
          <t>0.20×(H_geo+H_press)</t>
        </is>
      </c>
      <c r="D88" s="10" t="inlineStr">
        <is>
          <t>0.20×(1.20+0.00)</t>
        </is>
      </c>
      <c r="E88" s="10" t="inlineStr">
        <is>
          <t>0.24</t>
        </is>
      </c>
      <c r="F88" s="10" t="inlineStr">
        <is>
          <t>m</t>
        </is>
      </c>
      <c r="G88" s="10" t="inlineStr">
        <is>
          <t>Heurística 20%</t>
        </is>
      </c>
    </row>
    <row r="89">
      <c r="A89" s="10" t="inlineStr"/>
      <c r="B89" s="16" t="inlineStr">
        <is>
          <t>H_m TOTAL</t>
        </is>
      </c>
      <c r="C89" s="16" t="inlineStr">
        <is>
          <t>H_geo + H_press + H_perda</t>
        </is>
      </c>
      <c r="D89" s="16" t="inlineStr">
        <is>
          <t>1.20+0.00+0.24</t>
        </is>
      </c>
      <c r="E89" s="16" t="inlineStr">
        <is>
          <t>1.44</t>
        </is>
      </c>
      <c r="F89" s="16" t="inlineStr">
        <is>
          <t>m</t>
        </is>
      </c>
      <c r="G89" s="16" t="inlineStr">
        <is>
          <t>—</t>
        </is>
      </c>
    </row>
    <row r="90">
      <c r="A90" s="10" t="inlineStr"/>
      <c r="B90" s="10" t="inlineStr">
        <is>
          <t>P_hidráulica</t>
        </is>
      </c>
      <c r="C90" s="10" t="inlineStr">
        <is>
          <t>ρ×g×Q×H_m /1000</t>
        </is>
      </c>
      <c r="D90" s="10" t="inlineStr">
        <is>
          <t>1080.0×9.81×0.00058×1.44/1000</t>
        </is>
      </c>
      <c r="E90" s="10" t="inlineStr">
        <is>
          <t>0.0088</t>
        </is>
      </c>
      <c r="F90" s="10" t="inlineStr">
        <is>
          <t>kW</t>
        </is>
      </c>
      <c r="G90" s="10" t="inlineStr">
        <is>
          <t>Franzini (1994)</t>
        </is>
      </c>
    </row>
    <row r="91">
      <c r="A91" s="10" t="inlineStr"/>
      <c r="B91" s="10" t="inlineStr">
        <is>
          <t>P_eixo</t>
        </is>
      </c>
      <c r="C91" s="10" t="inlineStr">
        <is>
          <t>P_hid / η_bomba</t>
        </is>
      </c>
      <c r="D91" s="10" t="inlineStr">
        <is>
          <t>0.0088 / 0.55</t>
        </is>
      </c>
      <c r="E91" s="10" t="inlineStr">
        <is>
          <t>0.0161</t>
        </is>
      </c>
      <c r="F91" s="10" t="inlineStr">
        <is>
          <t>kW</t>
        </is>
      </c>
      <c r="G91" s="10" t="inlineStr">
        <is>
          <t>Karassik (2001)</t>
        </is>
      </c>
    </row>
    <row r="92">
      <c r="A92" s="10" t="inlineStr"/>
      <c r="B92" s="10" t="inlineStr">
        <is>
          <t>P_motor</t>
        </is>
      </c>
      <c r="C92" s="10" t="inlineStr">
        <is>
          <t>P_eixo / η_motor</t>
        </is>
      </c>
      <c r="D92" s="10" t="inlineStr">
        <is>
          <t>0.0161 / 0.93</t>
        </is>
      </c>
      <c r="E92" s="10" t="inlineStr">
        <is>
          <t>0.0173</t>
        </is>
      </c>
      <c r="F92" s="10" t="inlineStr">
        <is>
          <t>kW</t>
        </is>
      </c>
      <c r="G92" s="10" t="inlineStr">
        <is>
          <t>NBR IEC 60034</t>
        </is>
      </c>
    </row>
    <row r="93">
      <c r="A93" s="10" t="inlineStr"/>
      <c r="B93" s="16" t="inlineStr">
        <is>
          <t>P_INSTALADA</t>
        </is>
      </c>
      <c r="C93" s="16" t="inlineStr">
        <is>
          <t>P_motor × FS</t>
        </is>
      </c>
      <c r="D93" s="16" t="inlineStr">
        <is>
          <t>0.0173 × 1.15</t>
        </is>
      </c>
      <c r="E93" s="16" t="inlineStr">
        <is>
          <t>0.020</t>
        </is>
      </c>
      <c r="F93" s="16" t="inlineStr">
        <is>
          <t>kW</t>
        </is>
      </c>
      <c r="G93" s="16" t="inlineStr">
        <is>
          <t>Prática indust.</t>
        </is>
      </c>
    </row>
    <row r="95">
      <c r="B95" s="3" t="inlineStr">
        <is>
          <t>VERIFICAÇÕES:</t>
        </is>
      </c>
    </row>
    <row r="96">
      <c r="B96" s="4" t="inlineStr">
        <is>
          <t xml:space="preserve">  Re = 33 → Laminar</t>
        </is>
      </c>
      <c r="E96" s="4" t="inlineStr">
        <is>
          <t>v ≈ 0.80 m/s</t>
        </is>
      </c>
      <c r="F96" s="4" t="inlineStr">
        <is>
          <t>D_est ≈ 30 mm</t>
        </is>
      </c>
    </row>
    <row r="97">
      <c r="B97" s="4" t="inlineStr">
        <is>
          <t xml:space="preserve">  NPSHd = 10.1 m &gt; 3.5 m (NPSHr+0.5)</t>
        </is>
      </c>
      <c r="E97" s="17" t="inlineStr">
        <is>
          <t>✓ OK — Sem risco de cavitação</t>
        </is>
      </c>
    </row>
    <row r="100">
      <c r="B100" s="15" t="inlineStr">
        <is>
          <t>═══ P-105 A/B — MX-01 → Biorreatores BIO-01..04 ═══</t>
        </is>
      </c>
    </row>
    <row r="101">
      <c r="B101" s="3" t="inlineStr">
        <is>
          <t>Fluido:</t>
        </is>
      </c>
      <c r="C101" s="4" t="inlineStr">
        <is>
          <t>Substrato homogeneizado</t>
        </is>
      </c>
      <c r="E101" s="3" t="inlineStr">
        <is>
          <t>Tipo bomba:</t>
        </is>
      </c>
      <c r="F101" s="4" t="inlineStr">
        <is>
          <t>Centrífuga canal aberto</t>
        </is>
      </c>
    </row>
    <row r="102">
      <c r="B102" s="3" t="inlineStr">
        <is>
          <t>Observação:</t>
        </is>
      </c>
      <c r="C102" s="8" t="inlineStr">
        <is>
          <t>Maior vazão líquida. Desnível 7.27 m.</t>
        </is>
      </c>
    </row>
    <row r="104">
      <c r="A104" s="9" t="inlineStr"/>
      <c r="B104" s="9" t="inlineStr">
        <is>
          <t>Etapa</t>
        </is>
      </c>
      <c r="C104" s="9" t="inlineStr">
        <is>
          <t>Fórmula</t>
        </is>
      </c>
      <c r="D104" s="9" t="inlineStr">
        <is>
          <t>Substituição</t>
        </is>
      </c>
      <c r="E104" s="9" t="inlineStr">
        <is>
          <t>Resultado</t>
        </is>
      </c>
      <c r="F104" s="9" t="inlineStr">
        <is>
          <t>Unidade</t>
        </is>
      </c>
      <c r="G104" s="9" t="inlineStr">
        <is>
          <t>Referência</t>
        </is>
      </c>
    </row>
    <row r="105">
      <c r="A105" s="10" t="inlineStr"/>
      <c r="B105" s="10" t="inlineStr">
        <is>
          <t>Vazão Q</t>
        </is>
      </c>
      <c r="C105" s="10" t="inlineStr">
        <is>
          <t>Q = Q_m3d / 86400</t>
        </is>
      </c>
      <c r="D105" s="10" t="inlineStr">
        <is>
          <t>500.0 / 86400</t>
        </is>
      </c>
      <c r="E105" s="10" t="inlineStr">
        <is>
          <t>0.005787</t>
        </is>
      </c>
      <c r="F105" s="10" t="inlineStr">
        <is>
          <t>m³/s</t>
        </is>
      </c>
      <c r="G105" s="10" t="inlineStr">
        <is>
          <t>Conversão</t>
        </is>
      </c>
    </row>
    <row r="106">
      <c r="A106" s="10" t="inlineStr"/>
      <c r="B106" s="10" t="inlineStr">
        <is>
          <t>Vazão Q (alt.)</t>
        </is>
      </c>
      <c r="C106" s="10" t="inlineStr">
        <is>
          <t>Q = Q_m3d / 24</t>
        </is>
      </c>
      <c r="D106" s="10" t="inlineStr">
        <is>
          <t>500.0 / 24</t>
        </is>
      </c>
      <c r="E106" s="10" t="inlineStr">
        <is>
          <t>20.83</t>
        </is>
      </c>
      <c r="F106" s="10" t="inlineStr">
        <is>
          <t>m³/h</t>
        </is>
      </c>
      <c r="G106" s="10" t="inlineStr">
        <is>
          <t>Conversão</t>
        </is>
      </c>
    </row>
    <row r="107">
      <c r="A107" s="10" t="inlineStr"/>
      <c r="B107" s="10" t="inlineStr">
        <is>
          <t>H_pressão</t>
        </is>
      </c>
      <c r="C107" s="10" t="inlineStr">
        <is>
          <t>ΔP / (ρ×g)</t>
        </is>
      </c>
      <c r="D107" s="10" t="inlineStr">
        <is>
          <t>0 / (1021.7×9.81)</t>
        </is>
      </c>
      <c r="E107" s="10" t="inlineStr">
        <is>
          <t>0.00</t>
        </is>
      </c>
      <c r="F107" s="10" t="inlineStr">
        <is>
          <t>m</t>
        </is>
      </c>
      <c r="G107" s="10" t="inlineStr">
        <is>
          <t>Franzini (1994)</t>
        </is>
      </c>
    </row>
    <row r="108">
      <c r="A108" s="10" t="inlineStr"/>
      <c r="B108" s="10" t="inlineStr">
        <is>
          <t>H_geo (efetivo)</t>
        </is>
      </c>
      <c r="C108" s="10" t="inlineStr">
        <is>
          <t>max(H_geo, 0)</t>
        </is>
      </c>
      <c r="D108" s="10" t="inlineStr">
        <is>
          <t>max(7.27, 0)</t>
        </is>
      </c>
      <c r="E108" s="10" t="inlineStr">
        <is>
          <t>7.27</t>
        </is>
      </c>
      <c r="F108" s="10" t="inlineStr">
        <is>
          <t>m</t>
        </is>
      </c>
      <c r="G108" s="10" t="inlineStr">
        <is>
          <t>PFD (cotas)</t>
        </is>
      </c>
    </row>
    <row r="109">
      <c r="A109" s="10" t="inlineStr"/>
      <c r="B109" s="10" t="inlineStr">
        <is>
          <t>H_perda</t>
        </is>
      </c>
      <c r="C109" s="10" t="inlineStr">
        <is>
          <t>0.20×(H_geo+H_press)</t>
        </is>
      </c>
      <c r="D109" s="10" t="inlineStr">
        <is>
          <t>0.20×(7.27+0.00)</t>
        </is>
      </c>
      <c r="E109" s="10" t="inlineStr">
        <is>
          <t>1.45</t>
        </is>
      </c>
      <c r="F109" s="10" t="inlineStr">
        <is>
          <t>m</t>
        </is>
      </c>
      <c r="G109" s="10" t="inlineStr">
        <is>
          <t>Heurística 20%</t>
        </is>
      </c>
    </row>
    <row r="110">
      <c r="A110" s="10" t="inlineStr"/>
      <c r="B110" s="16" t="inlineStr">
        <is>
          <t>H_m TOTAL</t>
        </is>
      </c>
      <c r="C110" s="16" t="inlineStr">
        <is>
          <t>H_geo + H_press + H_perda</t>
        </is>
      </c>
      <c r="D110" s="16" t="inlineStr">
        <is>
          <t>7.27+0.00+1.45</t>
        </is>
      </c>
      <c r="E110" s="16" t="inlineStr">
        <is>
          <t>8.72</t>
        </is>
      </c>
      <c r="F110" s="16" t="inlineStr">
        <is>
          <t>m</t>
        </is>
      </c>
      <c r="G110" s="16" t="inlineStr">
        <is>
          <t>—</t>
        </is>
      </c>
    </row>
    <row r="111">
      <c r="A111" s="10" t="inlineStr"/>
      <c r="B111" s="10" t="inlineStr">
        <is>
          <t>P_hidráulica</t>
        </is>
      </c>
      <c r="C111" s="10" t="inlineStr">
        <is>
          <t>ρ×g×Q×H_m /1000</t>
        </is>
      </c>
      <c r="D111" s="10" t="inlineStr">
        <is>
          <t>1021.7×9.81×0.00579×8.72/1000</t>
        </is>
      </c>
      <c r="E111" s="10" t="inlineStr">
        <is>
          <t>0.5060</t>
        </is>
      </c>
      <c r="F111" s="10" t="inlineStr">
        <is>
          <t>kW</t>
        </is>
      </c>
      <c r="G111" s="10" t="inlineStr">
        <is>
          <t>Franzini (1994)</t>
        </is>
      </c>
    </row>
    <row r="112">
      <c r="A112" s="10" t="inlineStr"/>
      <c r="B112" s="10" t="inlineStr">
        <is>
          <t>P_eixo</t>
        </is>
      </c>
      <c r="C112" s="10" t="inlineStr">
        <is>
          <t>P_hid / η_bomba</t>
        </is>
      </c>
      <c r="D112" s="10" t="inlineStr">
        <is>
          <t>0.5060 / 0.6</t>
        </is>
      </c>
      <c r="E112" s="10" t="inlineStr">
        <is>
          <t>0.8434</t>
        </is>
      </c>
      <c r="F112" s="10" t="inlineStr">
        <is>
          <t>kW</t>
        </is>
      </c>
      <c r="G112" s="10" t="inlineStr">
        <is>
          <t>Karassik (2001)</t>
        </is>
      </c>
    </row>
    <row r="113">
      <c r="A113" s="10" t="inlineStr"/>
      <c r="B113" s="10" t="inlineStr">
        <is>
          <t>P_motor</t>
        </is>
      </c>
      <c r="C113" s="10" t="inlineStr">
        <is>
          <t>P_eixo / η_motor</t>
        </is>
      </c>
      <c r="D113" s="10" t="inlineStr">
        <is>
          <t>0.8434 / 0.93</t>
        </is>
      </c>
      <c r="E113" s="10" t="inlineStr">
        <is>
          <t>0.9068</t>
        </is>
      </c>
      <c r="F113" s="10" t="inlineStr">
        <is>
          <t>kW</t>
        </is>
      </c>
      <c r="G113" s="10" t="inlineStr">
        <is>
          <t>NBR IEC 60034</t>
        </is>
      </c>
    </row>
    <row r="114">
      <c r="A114" s="10" t="inlineStr"/>
      <c r="B114" s="16" t="inlineStr">
        <is>
          <t>P_INSTALADA</t>
        </is>
      </c>
      <c r="C114" s="16" t="inlineStr">
        <is>
          <t>P_motor × FS</t>
        </is>
      </c>
      <c r="D114" s="16" t="inlineStr">
        <is>
          <t>0.9068 × 1.15</t>
        </is>
      </c>
      <c r="E114" s="16" t="inlineStr">
        <is>
          <t>1.043</t>
        </is>
      </c>
      <c r="F114" s="16" t="inlineStr">
        <is>
          <t>kW</t>
        </is>
      </c>
      <c r="G114" s="16" t="inlineStr">
        <is>
          <t>Prática indust.</t>
        </is>
      </c>
    </row>
    <row r="116">
      <c r="B116" s="3" t="inlineStr">
        <is>
          <t>VERIFICAÇÕES:</t>
        </is>
      </c>
    </row>
    <row r="117">
      <c r="B117" s="4" t="inlineStr">
        <is>
          <t xml:space="preserve">  Re = 2387 → Transição</t>
        </is>
      </c>
      <c r="E117" s="4" t="inlineStr">
        <is>
          <t>v ≈ 1.50 m/s</t>
        </is>
      </c>
      <c r="F117" s="4" t="inlineStr">
        <is>
          <t>D_est ≈ 70 mm</t>
        </is>
      </c>
    </row>
    <row r="118">
      <c r="B118" s="4" t="inlineStr">
        <is>
          <t xml:space="preserve">  NPSHd = 10.6 m &gt; 3.5 m (NPSHr+0.5)</t>
        </is>
      </c>
      <c r="E118" s="17" t="inlineStr">
        <is>
          <t>✓ OK — Sem risco de cavitação</t>
        </is>
      </c>
    </row>
    <row r="121">
      <c r="B121" s="15" t="inlineStr">
        <is>
          <t>═══ P-106 — Reservatório Água → C-101 Topo ═══</t>
        </is>
      </c>
    </row>
    <row r="122">
      <c r="B122" s="3" t="inlineStr">
        <is>
          <t>Fluido:</t>
        </is>
      </c>
      <c r="C122" s="4" t="inlineStr">
        <is>
          <t>Água industrial (20°C)</t>
        </is>
      </c>
      <c r="E122" s="3" t="inlineStr">
        <is>
          <t>Tipo bomba:</t>
        </is>
      </c>
      <c r="F122" s="4" t="inlineStr">
        <is>
          <t>Centrífuga multi-estágio</t>
        </is>
      </c>
    </row>
    <row r="123">
      <c r="B123" s="3" t="inlineStr">
        <is>
          <t>Observação:</t>
        </is>
      </c>
      <c r="C123" s="8" t="inlineStr">
        <is>
          <t>BOMBA CRÍTICA: ΔP=9bar. ~94% potência total.</t>
        </is>
      </c>
    </row>
    <row r="125">
      <c r="A125" s="9" t="inlineStr"/>
      <c r="B125" s="9" t="inlineStr">
        <is>
          <t>Etapa</t>
        </is>
      </c>
      <c r="C125" s="9" t="inlineStr">
        <is>
          <t>Fórmula</t>
        </is>
      </c>
      <c r="D125" s="9" t="inlineStr">
        <is>
          <t>Substituição</t>
        </is>
      </c>
      <c r="E125" s="9" t="inlineStr">
        <is>
          <t>Resultado</t>
        </is>
      </c>
      <c r="F125" s="9" t="inlineStr">
        <is>
          <t>Unidade</t>
        </is>
      </c>
      <c r="G125" s="9" t="inlineStr">
        <is>
          <t>Referência</t>
        </is>
      </c>
    </row>
    <row r="126">
      <c r="A126" s="10" t="inlineStr"/>
      <c r="B126" s="10" t="inlineStr">
        <is>
          <t>Vazão Q</t>
        </is>
      </c>
      <c r="C126" s="10" t="inlineStr">
        <is>
          <t>Q = Q_m3d / 86400</t>
        </is>
      </c>
      <c r="D126" s="10" t="inlineStr">
        <is>
          <t>1221.6 / 86400</t>
        </is>
      </c>
      <c r="E126" s="10" t="inlineStr">
        <is>
          <t>0.014139</t>
        </is>
      </c>
      <c r="F126" s="10" t="inlineStr">
        <is>
          <t>m³/s</t>
        </is>
      </c>
      <c r="G126" s="10" t="inlineStr">
        <is>
          <t>Conversão</t>
        </is>
      </c>
    </row>
    <row r="127">
      <c r="A127" s="10" t="inlineStr"/>
      <c r="B127" s="10" t="inlineStr">
        <is>
          <t>Vazão Q (alt.)</t>
        </is>
      </c>
      <c r="C127" s="10" t="inlineStr">
        <is>
          <t>Q = Q_m3d / 24</t>
        </is>
      </c>
      <c r="D127" s="10" t="inlineStr">
        <is>
          <t>1221.6 / 24</t>
        </is>
      </c>
      <c r="E127" s="10" t="inlineStr">
        <is>
          <t>50.90</t>
        </is>
      </c>
      <c r="F127" s="10" t="inlineStr">
        <is>
          <t>m³/h</t>
        </is>
      </c>
      <c r="G127" s="10" t="inlineStr">
        <is>
          <t>Conversão</t>
        </is>
      </c>
    </row>
    <row r="128">
      <c r="A128" s="10" t="inlineStr"/>
      <c r="B128" s="10" t="inlineStr">
        <is>
          <t>H_pressão</t>
        </is>
      </c>
      <c r="C128" s="10" t="inlineStr">
        <is>
          <t>ΔP / (ρ×g)</t>
        </is>
      </c>
      <c r="D128" s="10" t="inlineStr">
        <is>
          <t>900000 / (998.0×9.81)</t>
        </is>
      </c>
      <c r="E128" s="10" t="inlineStr">
        <is>
          <t>91.93</t>
        </is>
      </c>
      <c r="F128" s="10" t="inlineStr">
        <is>
          <t>m</t>
        </is>
      </c>
      <c r="G128" s="10" t="inlineStr">
        <is>
          <t>Franzini (1994)</t>
        </is>
      </c>
    </row>
    <row r="129">
      <c r="A129" s="10" t="inlineStr"/>
      <c r="B129" s="10" t="inlineStr">
        <is>
          <t>H_geo (efetivo)</t>
        </is>
      </c>
      <c r="C129" s="10" t="inlineStr">
        <is>
          <t>max(H_geo, 0)</t>
        </is>
      </c>
      <c r="D129" s="10" t="inlineStr">
        <is>
          <t>max(7.28, 0)</t>
        </is>
      </c>
      <c r="E129" s="10" t="inlineStr">
        <is>
          <t>7.28</t>
        </is>
      </c>
      <c r="F129" s="10" t="inlineStr">
        <is>
          <t>m</t>
        </is>
      </c>
      <c r="G129" s="10" t="inlineStr">
        <is>
          <t>PFD (cotas)</t>
        </is>
      </c>
    </row>
    <row r="130">
      <c r="A130" s="10" t="inlineStr"/>
      <c r="B130" s="10" t="inlineStr">
        <is>
          <t>H_perda</t>
        </is>
      </c>
      <c r="C130" s="10" t="inlineStr">
        <is>
          <t>0.20×(H_geo+H_press)</t>
        </is>
      </c>
      <c r="D130" s="10" t="inlineStr">
        <is>
          <t>0.20×(7.28+91.93)</t>
        </is>
      </c>
      <c r="E130" s="10" t="inlineStr">
        <is>
          <t>19.84</t>
        </is>
      </c>
      <c r="F130" s="10" t="inlineStr">
        <is>
          <t>m</t>
        </is>
      </c>
      <c r="G130" s="10" t="inlineStr">
        <is>
          <t>Heurística 20%</t>
        </is>
      </c>
    </row>
    <row r="131">
      <c r="A131" s="10" t="inlineStr"/>
      <c r="B131" s="16" t="inlineStr">
        <is>
          <t>H_m TOTAL</t>
        </is>
      </c>
      <c r="C131" s="16" t="inlineStr">
        <is>
          <t>H_geo + H_press + H_perda</t>
        </is>
      </c>
      <c r="D131" s="16" t="inlineStr">
        <is>
          <t>7.28+91.93+19.84</t>
        </is>
      </c>
      <c r="E131" s="16" t="inlineStr">
        <is>
          <t>119.05</t>
        </is>
      </c>
      <c r="F131" s="16" t="inlineStr">
        <is>
          <t>m</t>
        </is>
      </c>
      <c r="G131" s="16" t="inlineStr">
        <is>
          <t>—</t>
        </is>
      </c>
    </row>
    <row r="132">
      <c r="A132" s="10" t="inlineStr"/>
      <c r="B132" s="10" t="inlineStr">
        <is>
          <t>P_hidráulica</t>
        </is>
      </c>
      <c r="C132" s="10" t="inlineStr">
        <is>
          <t>ρ×g×Q×H_m /1000</t>
        </is>
      </c>
      <c r="D132" s="10" t="inlineStr">
        <is>
          <t>998.0×9.81×0.01414×119.05/1000</t>
        </is>
      </c>
      <c r="E132" s="10" t="inlineStr">
        <is>
          <t>16.4793</t>
        </is>
      </c>
      <c r="F132" s="10" t="inlineStr">
        <is>
          <t>kW</t>
        </is>
      </c>
      <c r="G132" s="10" t="inlineStr">
        <is>
          <t>Franzini (1994)</t>
        </is>
      </c>
    </row>
    <row r="133">
      <c r="A133" s="10" t="inlineStr"/>
      <c r="B133" s="10" t="inlineStr">
        <is>
          <t>P_eixo</t>
        </is>
      </c>
      <c r="C133" s="10" t="inlineStr">
        <is>
          <t>P_hid / η_bomba</t>
        </is>
      </c>
      <c r="D133" s="10" t="inlineStr">
        <is>
          <t>16.4793 / 0.68</t>
        </is>
      </c>
      <c r="E133" s="10" t="inlineStr">
        <is>
          <t>24.2342</t>
        </is>
      </c>
      <c r="F133" s="10" t="inlineStr">
        <is>
          <t>kW</t>
        </is>
      </c>
      <c r="G133" s="10" t="inlineStr">
        <is>
          <t>Karassik (2001)</t>
        </is>
      </c>
    </row>
    <row r="134">
      <c r="A134" s="10" t="inlineStr"/>
      <c r="B134" s="10" t="inlineStr">
        <is>
          <t>P_motor</t>
        </is>
      </c>
      <c r="C134" s="10" t="inlineStr">
        <is>
          <t>P_eixo / η_motor</t>
        </is>
      </c>
      <c r="D134" s="10" t="inlineStr">
        <is>
          <t>24.2342 / 0.93</t>
        </is>
      </c>
      <c r="E134" s="10" t="inlineStr">
        <is>
          <t>26.0583</t>
        </is>
      </c>
      <c r="F134" s="10" t="inlineStr">
        <is>
          <t>kW</t>
        </is>
      </c>
      <c r="G134" s="10" t="inlineStr">
        <is>
          <t>NBR IEC 60034</t>
        </is>
      </c>
    </row>
    <row r="135">
      <c r="A135" s="10" t="inlineStr"/>
      <c r="B135" s="16" t="inlineStr">
        <is>
          <t>P_INSTALADA</t>
        </is>
      </c>
      <c r="C135" s="16" t="inlineStr">
        <is>
          <t>P_motor × FS</t>
        </is>
      </c>
      <c r="D135" s="16" t="inlineStr">
        <is>
          <t>26.0583 × 1.15</t>
        </is>
      </c>
      <c r="E135" s="16" t="inlineStr">
        <is>
          <t>29.967</t>
        </is>
      </c>
      <c r="F135" s="16" t="inlineStr">
        <is>
          <t>kW</t>
        </is>
      </c>
      <c r="G135" s="16" t="inlineStr">
        <is>
          <t>Prática indust.</t>
        </is>
      </c>
    </row>
    <row r="137">
      <c r="B137" s="3" t="inlineStr">
        <is>
          <t>VERIFICAÇÕES:</t>
        </is>
      </c>
    </row>
    <row r="138">
      <c r="B138" s="4" t="inlineStr">
        <is>
          <t xml:space="preserve">  Re = 211087 → Turbulento</t>
        </is>
      </c>
      <c r="E138" s="4" t="inlineStr">
        <is>
          <t>v ≈ 2.50 m/s</t>
        </is>
      </c>
      <c r="F138" s="4" t="inlineStr">
        <is>
          <t>D_est ≈ 85 mm</t>
        </is>
      </c>
    </row>
    <row r="139">
      <c r="B139" s="4" t="inlineStr">
        <is>
          <t xml:space="preserve">  NPSHd = 10.6 m &gt; 3.5 m (NPSHr+0.5)</t>
        </is>
      </c>
      <c r="E139" s="17" t="inlineStr">
        <is>
          <t>✓ OK — Sem risco de cavitação</t>
        </is>
      </c>
    </row>
    <row r="142">
      <c r="B142" s="15" t="inlineStr">
        <is>
          <t>═══ P-107 — Efluente C-101 → Flash V-101 ═══</t>
        </is>
      </c>
    </row>
    <row r="143">
      <c r="B143" s="3" t="inlineStr">
        <is>
          <t>Fluido:</t>
        </is>
      </c>
      <c r="C143" s="4" t="inlineStr">
        <is>
          <t>Água + CO₂ dissolvido (pH~5)</t>
        </is>
      </c>
      <c r="E143" s="3" t="inlineStr">
        <is>
          <t>Tipo bomba:</t>
        </is>
      </c>
      <c r="F143" s="4" t="inlineStr">
        <is>
          <t>Centrífuga standard / VRP</t>
        </is>
      </c>
    </row>
    <row r="144">
      <c r="B144" s="3" t="inlineStr">
        <is>
          <t>Observação:</t>
        </is>
      </c>
      <c r="C144" s="8" t="inlineStr">
        <is>
          <t>Gravidade possível (P_col=10bar &gt; P_flash=3bar).</t>
        </is>
      </c>
    </row>
    <row r="146">
      <c r="A146" s="9" t="inlineStr"/>
      <c r="B146" s="9" t="inlineStr">
        <is>
          <t>Etapa</t>
        </is>
      </c>
      <c r="C146" s="9" t="inlineStr">
        <is>
          <t>Fórmula</t>
        </is>
      </c>
      <c r="D146" s="9" t="inlineStr">
        <is>
          <t>Substituição</t>
        </is>
      </c>
      <c r="E146" s="9" t="inlineStr">
        <is>
          <t>Resultado</t>
        </is>
      </c>
      <c r="F146" s="9" t="inlineStr">
        <is>
          <t>Unidade</t>
        </is>
      </c>
      <c r="G146" s="9" t="inlineStr">
        <is>
          <t>Referência</t>
        </is>
      </c>
    </row>
    <row r="147">
      <c r="A147" s="10" t="inlineStr"/>
      <c r="B147" s="10" t="inlineStr">
        <is>
          <t>Vazão Q</t>
        </is>
      </c>
      <c r="C147" s="10" t="inlineStr">
        <is>
          <t>Q = Q_m3d / 86400</t>
        </is>
      </c>
      <c r="D147" s="10" t="inlineStr">
        <is>
          <t>1221.6 / 86400</t>
        </is>
      </c>
      <c r="E147" s="10" t="inlineStr">
        <is>
          <t>0.014139</t>
        </is>
      </c>
      <c r="F147" s="10" t="inlineStr">
        <is>
          <t>m³/s</t>
        </is>
      </c>
      <c r="G147" s="10" t="inlineStr">
        <is>
          <t>Conversão</t>
        </is>
      </c>
    </row>
    <row r="148">
      <c r="A148" s="10" t="inlineStr"/>
      <c r="B148" s="10" t="inlineStr">
        <is>
          <t>Vazão Q (alt.)</t>
        </is>
      </c>
      <c r="C148" s="10" t="inlineStr">
        <is>
          <t>Q = Q_m3d / 24</t>
        </is>
      </c>
      <c r="D148" s="10" t="inlineStr">
        <is>
          <t>1221.6 / 24</t>
        </is>
      </c>
      <c r="E148" s="10" t="inlineStr">
        <is>
          <t>50.90</t>
        </is>
      </c>
      <c r="F148" s="10" t="inlineStr">
        <is>
          <t>m³/h</t>
        </is>
      </c>
      <c r="G148" s="10" t="inlineStr">
        <is>
          <t>Conversão</t>
        </is>
      </c>
    </row>
    <row r="149">
      <c r="A149" s="10" t="inlineStr"/>
      <c r="B149" s="10" t="inlineStr">
        <is>
          <t>H_pressão</t>
        </is>
      </c>
      <c r="C149" s="10" t="inlineStr">
        <is>
          <t>ΔP / (ρ×g)</t>
        </is>
      </c>
      <c r="D149" s="10" t="inlineStr">
        <is>
          <t>0 / (1002.0×9.81)</t>
        </is>
      </c>
      <c r="E149" s="10" t="inlineStr">
        <is>
          <t>0.00</t>
        </is>
      </c>
      <c r="F149" s="10" t="inlineStr">
        <is>
          <t>m</t>
        </is>
      </c>
      <c r="G149" s="10" t="inlineStr">
        <is>
          <t>Franzini (1994)</t>
        </is>
      </c>
    </row>
    <row r="150">
      <c r="A150" s="10" t="inlineStr"/>
      <c r="B150" s="10" t="inlineStr">
        <is>
          <t>H_geo (efetivo)</t>
        </is>
      </c>
      <c r="C150" s="10" t="inlineStr">
        <is>
          <t>max(H_geo, 0)</t>
        </is>
      </c>
      <c r="D150" s="10" t="inlineStr">
        <is>
          <t>max(-0.30, 0)</t>
        </is>
      </c>
      <c r="E150" s="10" t="inlineStr">
        <is>
          <t>0.00</t>
        </is>
      </c>
      <c r="F150" s="10" t="inlineStr">
        <is>
          <t>m</t>
        </is>
      </c>
      <c r="G150" s="10" t="inlineStr">
        <is>
          <t>PFD (cotas)</t>
        </is>
      </c>
    </row>
    <row r="151">
      <c r="A151" s="10" t="inlineStr"/>
      <c r="B151" s="10" t="inlineStr">
        <is>
          <t>H_perda</t>
        </is>
      </c>
      <c r="C151" s="10" t="inlineStr">
        <is>
          <t>0.20×(H_geo+H_press)</t>
        </is>
      </c>
      <c r="D151" s="10" t="inlineStr">
        <is>
          <t>0.20×(0.00+0.00)</t>
        </is>
      </c>
      <c r="E151" s="10" t="inlineStr">
        <is>
          <t>0.00</t>
        </is>
      </c>
      <c r="F151" s="10" t="inlineStr">
        <is>
          <t>m</t>
        </is>
      </c>
      <c r="G151" s="10" t="inlineStr">
        <is>
          <t>Heurística 20%</t>
        </is>
      </c>
    </row>
    <row r="152">
      <c r="A152" s="10" t="inlineStr"/>
      <c r="B152" s="16" t="inlineStr">
        <is>
          <t>H_m TOTAL</t>
        </is>
      </c>
      <c r="C152" s="16" t="inlineStr">
        <is>
          <t>H_geo + H_press + H_perda</t>
        </is>
      </c>
      <c r="D152" s="16" t="inlineStr">
        <is>
          <t>0.00+0.00+0.00</t>
        </is>
      </c>
      <c r="E152" s="16" t="inlineStr">
        <is>
          <t>2.00</t>
        </is>
      </c>
      <c r="F152" s="16" t="inlineStr">
        <is>
          <t>m</t>
        </is>
      </c>
      <c r="G152" s="16" t="inlineStr">
        <is>
          <t>—</t>
        </is>
      </c>
    </row>
    <row r="153">
      <c r="A153" s="10" t="inlineStr"/>
      <c r="B153" s="10" t="inlineStr">
        <is>
          <t>P_hidráulica</t>
        </is>
      </c>
      <c r="C153" s="10" t="inlineStr">
        <is>
          <t>ρ×g×Q×H_m /1000</t>
        </is>
      </c>
      <c r="D153" s="10" t="inlineStr">
        <is>
          <t>1002.0×9.81×0.01414×2.00/1000</t>
        </is>
      </c>
      <c r="E153" s="10" t="inlineStr">
        <is>
          <t>0.2780</t>
        </is>
      </c>
      <c r="F153" s="10" t="inlineStr">
        <is>
          <t>kW</t>
        </is>
      </c>
      <c r="G153" s="10" t="inlineStr">
        <is>
          <t>Franzini (1994)</t>
        </is>
      </c>
    </row>
    <row r="154">
      <c r="A154" s="10" t="inlineStr"/>
      <c r="B154" s="10" t="inlineStr">
        <is>
          <t>P_eixo</t>
        </is>
      </c>
      <c r="C154" s="10" t="inlineStr">
        <is>
          <t>P_hid / η_bomba</t>
        </is>
      </c>
      <c r="D154" s="10" t="inlineStr">
        <is>
          <t>0.2780 / 0.7</t>
        </is>
      </c>
      <c r="E154" s="10" t="inlineStr">
        <is>
          <t>0.3971</t>
        </is>
      </c>
      <c r="F154" s="10" t="inlineStr">
        <is>
          <t>kW</t>
        </is>
      </c>
      <c r="G154" s="10" t="inlineStr">
        <is>
          <t>Karassik (2001)</t>
        </is>
      </c>
    </row>
    <row r="155">
      <c r="A155" s="10" t="inlineStr"/>
      <c r="B155" s="10" t="inlineStr">
        <is>
          <t>P_motor</t>
        </is>
      </c>
      <c r="C155" s="10" t="inlineStr">
        <is>
          <t>P_eixo / η_motor</t>
        </is>
      </c>
      <c r="D155" s="10" t="inlineStr">
        <is>
          <t>0.3971 / 0.93</t>
        </is>
      </c>
      <c r="E155" s="10" t="inlineStr">
        <is>
          <t>0.4270</t>
        </is>
      </c>
      <c r="F155" s="10" t="inlineStr">
        <is>
          <t>kW</t>
        </is>
      </c>
      <c r="G155" s="10" t="inlineStr">
        <is>
          <t>NBR IEC 60034</t>
        </is>
      </c>
    </row>
    <row r="156">
      <c r="A156" s="10" t="inlineStr"/>
      <c r="B156" s="16" t="inlineStr">
        <is>
          <t>P_INSTALADA</t>
        </is>
      </c>
      <c r="C156" s="16" t="inlineStr">
        <is>
          <t>P_motor × FS</t>
        </is>
      </c>
      <c r="D156" s="16" t="inlineStr">
        <is>
          <t>0.4270 × 1.15</t>
        </is>
      </c>
      <c r="E156" s="16" t="inlineStr">
        <is>
          <t>0.491</t>
        </is>
      </c>
      <c r="F156" s="16" t="inlineStr">
        <is>
          <t>kW</t>
        </is>
      </c>
      <c r="G156" s="16" t="inlineStr">
        <is>
          <t>Prática indust.</t>
        </is>
      </c>
    </row>
    <row r="158">
      <c r="B158" s="3" t="inlineStr">
        <is>
          <t>VERIFICAÇÕES:</t>
        </is>
      </c>
    </row>
    <row r="159">
      <c r="B159" s="4" t="inlineStr">
        <is>
          <t xml:space="preserve">  Re = 210465 → Turbulento</t>
        </is>
      </c>
      <c r="E159" s="4" t="inlineStr">
        <is>
          <t>v ≈ 2.50 m/s</t>
        </is>
      </c>
      <c r="F159" s="4" t="inlineStr">
        <is>
          <t>D_est ≈ 85 mm</t>
        </is>
      </c>
    </row>
    <row r="160">
      <c r="B160" s="4" t="inlineStr">
        <is>
          <t xml:space="preserve">  NPSHd = 10.6 m &gt; 3.5 m (NPSHr+0.5)</t>
        </is>
      </c>
      <c r="E160" s="17" t="inlineStr">
        <is>
          <t>✓ OK — Sem risco de cavitação</t>
        </is>
      </c>
    </row>
    <row r="161">
      <c r="B161" s="13" t="inlineStr">
        <is>
          <t xml:space="preserve">  ⚠ H_geo = -0.30 m (negativo) → Escoamento por gravidade POSSÍVEL</t>
        </is>
      </c>
    </row>
    <row r="164">
      <c r="B164" s="15" t="inlineStr">
        <is>
          <t>═══ P-108 — Digestato BIO → Armazenamento ═══</t>
        </is>
      </c>
    </row>
    <row r="165">
      <c r="B165" s="3" t="inlineStr">
        <is>
          <t>Fluido:</t>
        </is>
      </c>
      <c r="C165" s="4" t="inlineStr">
        <is>
          <t>Digestato (lama digerida)</t>
        </is>
      </c>
      <c r="E165" s="3" t="inlineStr">
        <is>
          <t>Tipo bomba:</t>
        </is>
      </c>
      <c r="F165" s="4" t="inlineStr">
        <is>
          <t>Moineau / Peristáltica</t>
        </is>
      </c>
    </row>
    <row r="166">
      <c r="B166" s="3" t="inlineStr">
        <is>
          <t>Observação:</t>
        </is>
      </c>
      <c r="C166" s="8" t="inlineStr">
        <is>
          <t>H_geo&lt;0 → gravidade possível. Moineau como reserva.</t>
        </is>
      </c>
    </row>
    <row r="168">
      <c r="A168" s="9" t="inlineStr"/>
      <c r="B168" s="9" t="inlineStr">
        <is>
          <t>Etapa</t>
        </is>
      </c>
      <c r="C168" s="9" t="inlineStr">
        <is>
          <t>Fórmula</t>
        </is>
      </c>
      <c r="D168" s="9" t="inlineStr">
        <is>
          <t>Substituição</t>
        </is>
      </c>
      <c r="E168" s="9" t="inlineStr">
        <is>
          <t>Resultado</t>
        </is>
      </c>
      <c r="F168" s="9" t="inlineStr">
        <is>
          <t>Unidade</t>
        </is>
      </c>
      <c r="G168" s="9" t="inlineStr">
        <is>
          <t>Referência</t>
        </is>
      </c>
    </row>
    <row r="169">
      <c r="A169" s="10" t="inlineStr"/>
      <c r="B169" s="10" t="inlineStr">
        <is>
          <t>Vazão Q</t>
        </is>
      </c>
      <c r="C169" s="10" t="inlineStr">
        <is>
          <t>Q = Q_m3d / 86400</t>
        </is>
      </c>
      <c r="D169" s="10" t="inlineStr">
        <is>
          <t>425.0 / 86400</t>
        </is>
      </c>
      <c r="E169" s="10" t="inlineStr">
        <is>
          <t>0.004919</t>
        </is>
      </c>
      <c r="F169" s="10" t="inlineStr">
        <is>
          <t>m³/s</t>
        </is>
      </c>
      <c r="G169" s="10" t="inlineStr">
        <is>
          <t>Conversão</t>
        </is>
      </c>
    </row>
    <row r="170">
      <c r="A170" s="10" t="inlineStr"/>
      <c r="B170" s="10" t="inlineStr">
        <is>
          <t>Vazão Q (alt.)</t>
        </is>
      </c>
      <c r="C170" s="10" t="inlineStr">
        <is>
          <t>Q = Q_m3d / 24</t>
        </is>
      </c>
      <c r="D170" s="10" t="inlineStr">
        <is>
          <t>425.0 / 24</t>
        </is>
      </c>
      <c r="E170" s="10" t="inlineStr">
        <is>
          <t>17.71</t>
        </is>
      </c>
      <c r="F170" s="10" t="inlineStr">
        <is>
          <t>m³/h</t>
        </is>
      </c>
      <c r="G170" s="10" t="inlineStr">
        <is>
          <t>Conversão</t>
        </is>
      </c>
    </row>
    <row r="171">
      <c r="A171" s="10" t="inlineStr"/>
      <c r="B171" s="10" t="inlineStr">
        <is>
          <t>H_pressão</t>
        </is>
      </c>
      <c r="C171" s="10" t="inlineStr">
        <is>
          <t>ΔP / (ρ×g)</t>
        </is>
      </c>
      <c r="D171" s="10" t="inlineStr">
        <is>
          <t>0 / (1015.0×9.81)</t>
        </is>
      </c>
      <c r="E171" s="10" t="inlineStr">
        <is>
          <t>0.00</t>
        </is>
      </c>
      <c r="F171" s="10" t="inlineStr">
        <is>
          <t>m</t>
        </is>
      </c>
      <c r="G171" s="10" t="inlineStr">
        <is>
          <t>Franzini (1994)</t>
        </is>
      </c>
    </row>
    <row r="172">
      <c r="A172" s="10" t="inlineStr"/>
      <c r="B172" s="10" t="inlineStr">
        <is>
          <t>H_geo (efetivo)</t>
        </is>
      </c>
      <c r="C172" s="10" t="inlineStr">
        <is>
          <t>max(H_geo, 0)</t>
        </is>
      </c>
      <c r="D172" s="10" t="inlineStr">
        <is>
          <t>max(-8.24, 0)</t>
        </is>
      </c>
      <c r="E172" s="10" t="inlineStr">
        <is>
          <t>0.00</t>
        </is>
      </c>
      <c r="F172" s="10" t="inlineStr">
        <is>
          <t>m</t>
        </is>
      </c>
      <c r="G172" s="10" t="inlineStr">
        <is>
          <t>PFD (cotas)</t>
        </is>
      </c>
    </row>
    <row r="173">
      <c r="A173" s="10" t="inlineStr"/>
      <c r="B173" s="10" t="inlineStr">
        <is>
          <t>H_perda</t>
        </is>
      </c>
      <c r="C173" s="10" t="inlineStr">
        <is>
          <t>0.20×(H_geo+H_press)</t>
        </is>
      </c>
      <c r="D173" s="10" t="inlineStr">
        <is>
          <t>0.20×(0.00+0.00)</t>
        </is>
      </c>
      <c r="E173" s="10" t="inlineStr">
        <is>
          <t>0.00</t>
        </is>
      </c>
      <c r="F173" s="10" t="inlineStr">
        <is>
          <t>m</t>
        </is>
      </c>
      <c r="G173" s="10" t="inlineStr">
        <is>
          <t>Heurística 20%</t>
        </is>
      </c>
    </row>
    <row r="174">
      <c r="A174" s="10" t="inlineStr"/>
      <c r="B174" s="16" t="inlineStr">
        <is>
          <t>H_m TOTAL</t>
        </is>
      </c>
      <c r="C174" s="16" t="inlineStr">
        <is>
          <t>H_geo + H_press + H_perda</t>
        </is>
      </c>
      <c r="D174" s="16" t="inlineStr">
        <is>
          <t>0.00+0.00+0.00</t>
        </is>
      </c>
      <c r="E174" s="16" t="inlineStr">
        <is>
          <t>2.00</t>
        </is>
      </c>
      <c r="F174" s="16" t="inlineStr">
        <is>
          <t>m</t>
        </is>
      </c>
      <c r="G174" s="16" t="inlineStr">
        <is>
          <t>—</t>
        </is>
      </c>
    </row>
    <row r="175">
      <c r="A175" s="10" t="inlineStr"/>
      <c r="B175" s="10" t="inlineStr">
        <is>
          <t>P_hidráulica</t>
        </is>
      </c>
      <c r="C175" s="10" t="inlineStr">
        <is>
          <t>ρ×g×Q×H_m /1000</t>
        </is>
      </c>
      <c r="D175" s="10" t="inlineStr">
        <is>
          <t>1015.0×9.81×0.00492×2.00/1000</t>
        </is>
      </c>
      <c r="E175" s="10" t="inlineStr">
        <is>
          <t>0.0980</t>
        </is>
      </c>
      <c r="F175" s="10" t="inlineStr">
        <is>
          <t>kW</t>
        </is>
      </c>
      <c r="G175" s="10" t="inlineStr">
        <is>
          <t>Franzini (1994)</t>
        </is>
      </c>
    </row>
    <row r="176">
      <c r="A176" s="10" t="inlineStr"/>
      <c r="B176" s="10" t="inlineStr">
        <is>
          <t>P_eixo</t>
        </is>
      </c>
      <c r="C176" s="10" t="inlineStr">
        <is>
          <t>P_hid / η_bomba</t>
        </is>
      </c>
      <c r="D176" s="10" t="inlineStr">
        <is>
          <t>0.0980 / 0.55</t>
        </is>
      </c>
      <c r="E176" s="10" t="inlineStr">
        <is>
          <t>0.1781</t>
        </is>
      </c>
      <c r="F176" s="10" t="inlineStr">
        <is>
          <t>kW</t>
        </is>
      </c>
      <c r="G176" s="10" t="inlineStr">
        <is>
          <t>Karassik (2001)</t>
        </is>
      </c>
    </row>
    <row r="177">
      <c r="A177" s="10" t="inlineStr"/>
      <c r="B177" s="10" t="inlineStr">
        <is>
          <t>P_motor</t>
        </is>
      </c>
      <c r="C177" s="10" t="inlineStr">
        <is>
          <t>P_eixo / η_motor</t>
        </is>
      </c>
      <c r="D177" s="10" t="inlineStr">
        <is>
          <t>0.1781 / 0.93</t>
        </is>
      </c>
      <c r="E177" s="10" t="inlineStr">
        <is>
          <t>0.1915</t>
        </is>
      </c>
      <c r="F177" s="10" t="inlineStr">
        <is>
          <t>kW</t>
        </is>
      </c>
      <c r="G177" s="10" t="inlineStr">
        <is>
          <t>NBR IEC 60034</t>
        </is>
      </c>
    </row>
    <row r="178">
      <c r="A178" s="10" t="inlineStr"/>
      <c r="B178" s="16" t="inlineStr">
        <is>
          <t>P_INSTALADA</t>
        </is>
      </c>
      <c r="C178" s="16" t="inlineStr">
        <is>
          <t>P_motor × FS</t>
        </is>
      </c>
      <c r="D178" s="16" t="inlineStr">
        <is>
          <t>0.1915 × 1.15</t>
        </is>
      </c>
      <c r="E178" s="16" t="inlineStr">
        <is>
          <t>0.220</t>
        </is>
      </c>
      <c r="F178" s="16" t="inlineStr">
        <is>
          <t>kW</t>
        </is>
      </c>
      <c r="G178" s="16" t="inlineStr">
        <is>
          <t>Prática indust.</t>
        </is>
      </c>
    </row>
    <row r="180">
      <c r="B180" s="3" t="inlineStr">
        <is>
          <t>VERIFICAÇÕES:</t>
        </is>
      </c>
    </row>
    <row r="181">
      <c r="B181" s="4" t="inlineStr">
        <is>
          <t xml:space="preserve">  Re = 3279 → Transição</t>
        </is>
      </c>
      <c r="E181" s="4" t="inlineStr">
        <is>
          <t>v ≈ 1.50 m/s</t>
        </is>
      </c>
      <c r="F181" s="4" t="inlineStr">
        <is>
          <t>D_est ≈ 65 mm</t>
        </is>
      </c>
    </row>
    <row r="182">
      <c r="B182" s="4" t="inlineStr">
        <is>
          <t xml:space="preserve">  NPSHd = 10.7 m &gt; 3.5 m (NPSHr+0.5)</t>
        </is>
      </c>
      <c r="E182" s="17" t="inlineStr">
        <is>
          <t>✓ OK — Sem risco de cavitação</t>
        </is>
      </c>
    </row>
    <row r="183">
      <c r="B183" s="13" t="inlineStr">
        <is>
          <t xml:space="preserve">  ⚠ H_geo = -8.24 m (negativo) → Escoamento por gravidade POSSÍVEL</t>
        </is>
      </c>
    </row>
  </sheetData>
  <mergeCells count="9">
    <mergeCell ref="B16:G16"/>
    <mergeCell ref="B164:G164"/>
    <mergeCell ref="B121:G121"/>
    <mergeCell ref="B2:F2"/>
    <mergeCell ref="B37:G37"/>
    <mergeCell ref="B79:G79"/>
    <mergeCell ref="B58:G58"/>
    <mergeCell ref="B100:G100"/>
    <mergeCell ref="B142:G1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</cols>
  <sheetData>
    <row r="2">
      <c r="B2" s="1" t="inlineStr">
        <is>
          <t>TABELA RESUMO — DIMENSIONAMENTO DE TODAS AS BOMBAS</t>
        </is>
      </c>
    </row>
    <row r="4">
      <c r="A4" s="9" t="inlineStr"/>
      <c r="B4" s="9" t="inlineStr">
        <is>
          <t>Tag</t>
        </is>
      </c>
      <c r="C4" s="9" t="inlineStr">
        <is>
          <t>Serviço</t>
        </is>
      </c>
      <c r="D4" s="9" t="inlineStr">
        <is>
          <t>Q [m³/h]</t>
        </is>
      </c>
      <c r="E4" s="9" t="inlineStr">
        <is>
          <t>H_m [m]</t>
        </is>
      </c>
      <c r="F4" s="9" t="inlineStr">
        <is>
          <t>P_hid [kW]</t>
        </is>
      </c>
      <c r="G4" s="9" t="inlineStr">
        <is>
          <t>P_eixo [kW]</t>
        </is>
      </c>
      <c r="H4" s="9" t="inlineStr">
        <is>
          <t>P_motor [kW]</t>
        </is>
      </c>
      <c r="I4" s="9" t="inlineStr">
        <is>
          <t>P_inst [kW]</t>
        </is>
      </c>
      <c r="J4" s="9" t="inlineStr">
        <is>
          <t>η_bomba</t>
        </is>
      </c>
      <c r="K4" s="9" t="inlineStr">
        <is>
          <t>η_motor</t>
        </is>
      </c>
      <c r="L4" s="9" t="inlineStr">
        <is>
          <t>FS</t>
        </is>
      </c>
      <c r="M4" s="9" t="inlineStr">
        <is>
          <t>Tipo</t>
        </is>
      </c>
      <c r="N4" s="9" t="inlineStr">
        <is>
          <t>Regime</t>
        </is>
      </c>
    </row>
    <row r="5">
      <c r="A5" s="10" t="inlineStr"/>
      <c r="B5" s="10" t="inlineStr">
        <is>
          <t>P-101 A/B</t>
        </is>
      </c>
      <c r="C5" s="10" t="inlineStr">
        <is>
          <t>Lodo ETE Los Angeles → TQ-01</t>
        </is>
      </c>
      <c r="D5" s="10" t="n">
        <v>13.33</v>
      </c>
      <c r="E5" s="10" t="n">
        <v>1.8</v>
      </c>
      <c r="F5" s="10" t="n">
        <v>0.067</v>
      </c>
      <c r="G5" s="10" t="n">
        <v>0.111</v>
      </c>
      <c r="H5" s="10" t="n">
        <v>0.12</v>
      </c>
      <c r="I5" s="10" t="n">
        <v>0.137</v>
      </c>
      <c r="J5" s="10" t="n">
        <v>0.6</v>
      </c>
      <c r="K5" s="10" t="n">
        <v>0.93</v>
      </c>
      <c r="L5" s="10" t="n">
        <v>1.15</v>
      </c>
      <c r="M5" s="10" t="inlineStr">
        <is>
          <t>Centrífuga canal aberto</t>
        </is>
      </c>
      <c r="N5" s="10" t="inlineStr">
        <is>
          <t>Laminar</t>
        </is>
      </c>
    </row>
    <row r="6">
      <c r="A6" s="10" t="inlineStr"/>
      <c r="B6" s="10" t="inlineStr">
        <is>
          <t>P-102 A/B</t>
        </is>
      </c>
      <c r="C6" s="10" t="inlineStr">
        <is>
          <t>Lodo ETE Imbirussu → TQ-01</t>
        </is>
      </c>
      <c r="D6" s="10" t="n">
        <v>3.33</v>
      </c>
      <c r="E6" s="10" t="n">
        <v>1.8</v>
      </c>
      <c r="F6" s="10" t="n">
        <v>0.017</v>
      </c>
      <c r="G6" s="10" t="n">
        <v>0.028</v>
      </c>
      <c r="H6" s="10" t="n">
        <v>0.03</v>
      </c>
      <c r="I6" s="10" t="n">
        <v>0.034</v>
      </c>
      <c r="J6" s="10" t="n">
        <v>0.6</v>
      </c>
      <c r="K6" s="10" t="n">
        <v>0.93</v>
      </c>
      <c r="L6" s="10" t="n">
        <v>1.15</v>
      </c>
      <c r="M6" s="10" t="inlineStr">
        <is>
          <t>Centrífuga canal aberto</t>
        </is>
      </c>
      <c r="N6" s="10" t="inlineStr">
        <is>
          <t>Laminar</t>
        </is>
      </c>
    </row>
    <row r="7">
      <c r="A7" s="10" t="inlineStr"/>
      <c r="B7" s="10" t="inlineStr">
        <is>
          <t>P-103</t>
        </is>
      </c>
      <c r="C7" s="10" t="inlineStr">
        <is>
          <t>Vinhaça 2G → TQ-02</t>
        </is>
      </c>
      <c r="D7" s="10" t="n">
        <v>2.08</v>
      </c>
      <c r="E7" s="10" t="n">
        <v>1.44</v>
      </c>
      <c r="F7" s="10" t="n">
        <v>0.008999999999999999</v>
      </c>
      <c r="G7" s="10" t="n">
        <v>0.012</v>
      </c>
      <c r="H7" s="10" t="n">
        <v>0.013</v>
      </c>
      <c r="I7" s="10" t="n">
        <v>0.015</v>
      </c>
      <c r="J7" s="10" t="n">
        <v>0.7</v>
      </c>
      <c r="K7" s="10" t="n">
        <v>0.93</v>
      </c>
      <c r="L7" s="10" t="n">
        <v>1.15</v>
      </c>
      <c r="M7" s="10" t="inlineStr">
        <is>
          <t>Centrífuga standard</t>
        </is>
      </c>
      <c r="N7" s="10" t="inlineStr">
        <is>
          <t>Laminar</t>
        </is>
      </c>
    </row>
    <row r="8">
      <c r="A8" s="10" t="inlineStr"/>
      <c r="B8" s="10" t="inlineStr">
        <is>
          <t>P-104</t>
        </is>
      </c>
      <c r="C8" s="10" t="inlineStr">
        <is>
          <t>Resíduo Orgânico → TQ-03</t>
        </is>
      </c>
      <c r="D8" s="10" t="n">
        <v>2.08</v>
      </c>
      <c r="E8" s="10" t="n">
        <v>1.44</v>
      </c>
      <c r="F8" s="10" t="n">
        <v>0.008999999999999999</v>
      </c>
      <c r="G8" s="10" t="n">
        <v>0.016</v>
      </c>
      <c r="H8" s="10" t="n">
        <v>0.017</v>
      </c>
      <c r="I8" s="10" t="n">
        <v>0.02</v>
      </c>
      <c r="J8" s="10" t="n">
        <v>0.55</v>
      </c>
      <c r="K8" s="10" t="n">
        <v>0.93</v>
      </c>
      <c r="L8" s="10" t="n">
        <v>1.15</v>
      </c>
      <c r="M8" s="10" t="inlineStr">
        <is>
          <t>Cavidade progressiva (Moineau)</t>
        </is>
      </c>
      <c r="N8" s="10" t="inlineStr">
        <is>
          <t>Laminar</t>
        </is>
      </c>
    </row>
    <row r="9">
      <c r="A9" s="10" t="inlineStr"/>
      <c r="B9" s="10" t="inlineStr">
        <is>
          <t>P-105 A/B</t>
        </is>
      </c>
      <c r="C9" s="10" t="inlineStr">
        <is>
          <t>MX-01 → Biorreatores BIO-01..04</t>
        </is>
      </c>
      <c r="D9" s="10" t="n">
        <v>20.83</v>
      </c>
      <c r="E9" s="10" t="n">
        <v>8.720000000000001</v>
      </c>
      <c r="F9" s="10" t="n">
        <v>0.506</v>
      </c>
      <c r="G9" s="10" t="n">
        <v>0.843</v>
      </c>
      <c r="H9" s="10" t="n">
        <v>0.907</v>
      </c>
      <c r="I9" s="10" t="n">
        <v>1.043</v>
      </c>
      <c r="J9" s="10" t="n">
        <v>0.6</v>
      </c>
      <c r="K9" s="10" t="n">
        <v>0.93</v>
      </c>
      <c r="L9" s="10" t="n">
        <v>1.15</v>
      </c>
      <c r="M9" s="10" t="inlineStr">
        <is>
          <t>Centrífuga canal aberto</t>
        </is>
      </c>
      <c r="N9" s="10" t="inlineStr">
        <is>
          <t>Transição</t>
        </is>
      </c>
    </row>
    <row r="10">
      <c r="A10" s="10" t="inlineStr"/>
      <c r="B10" s="18" t="inlineStr">
        <is>
          <t>P-106</t>
        </is>
      </c>
      <c r="C10" s="18" t="inlineStr">
        <is>
          <t>Reservatório Água → C-101 Topo</t>
        </is>
      </c>
      <c r="D10" s="18" t="n">
        <v>50.9</v>
      </c>
      <c r="E10" s="18" t="n">
        <v>119.05</v>
      </c>
      <c r="F10" s="18" t="n">
        <v>16.479</v>
      </c>
      <c r="G10" s="18" t="n">
        <v>24.234</v>
      </c>
      <c r="H10" s="18" t="n">
        <v>26.058</v>
      </c>
      <c r="I10" s="18" t="n">
        <v>29.967</v>
      </c>
      <c r="J10" s="18" t="n">
        <v>0.68</v>
      </c>
      <c r="K10" s="18" t="n">
        <v>0.93</v>
      </c>
      <c r="L10" s="18" t="n">
        <v>1.15</v>
      </c>
      <c r="M10" s="18" t="inlineStr">
        <is>
          <t>Centrífuga multi-estágio</t>
        </is>
      </c>
      <c r="N10" s="18" t="inlineStr">
        <is>
          <t>Turbulento</t>
        </is>
      </c>
    </row>
    <row r="11">
      <c r="A11" s="10" t="inlineStr"/>
      <c r="B11" s="10" t="inlineStr">
        <is>
          <t>P-107</t>
        </is>
      </c>
      <c r="C11" s="10" t="inlineStr">
        <is>
          <t>Efluente C-101 → Flash V-101</t>
        </is>
      </c>
      <c r="D11" s="10" t="n">
        <v>50.9</v>
      </c>
      <c r="E11" s="10" t="n">
        <v>2</v>
      </c>
      <c r="F11" s="10" t="n">
        <v>0.278</v>
      </c>
      <c r="G11" s="10" t="n">
        <v>0.397</v>
      </c>
      <c r="H11" s="10" t="n">
        <v>0.427</v>
      </c>
      <c r="I11" s="10" t="n">
        <v>0.491</v>
      </c>
      <c r="J11" s="10" t="n">
        <v>0.7</v>
      </c>
      <c r="K11" s="10" t="n">
        <v>0.93</v>
      </c>
      <c r="L11" s="10" t="n">
        <v>1.15</v>
      </c>
      <c r="M11" s="10" t="inlineStr">
        <is>
          <t>Centrífuga standard / VRP</t>
        </is>
      </c>
      <c r="N11" s="10" t="inlineStr">
        <is>
          <t>Turbulento</t>
        </is>
      </c>
    </row>
    <row r="12">
      <c r="A12" s="10" t="inlineStr"/>
      <c r="B12" s="10" t="inlineStr">
        <is>
          <t>P-108</t>
        </is>
      </c>
      <c r="C12" s="10" t="inlineStr">
        <is>
          <t>Digestato BIO → Armazenamento</t>
        </is>
      </c>
      <c r="D12" s="10" t="n">
        <v>17.71</v>
      </c>
      <c r="E12" s="10" t="n">
        <v>2</v>
      </c>
      <c r="F12" s="10" t="n">
        <v>0.098</v>
      </c>
      <c r="G12" s="10" t="n">
        <v>0.178</v>
      </c>
      <c r="H12" s="10" t="n">
        <v>0.192</v>
      </c>
      <c r="I12" s="10" t="n">
        <v>0.22</v>
      </c>
      <c r="J12" s="10" t="n">
        <v>0.55</v>
      </c>
      <c r="K12" s="10" t="n">
        <v>0.93</v>
      </c>
      <c r="L12" s="10" t="n">
        <v>1.15</v>
      </c>
      <c r="M12" s="10" t="inlineStr">
        <is>
          <t>Moineau / Peristáltica</t>
        </is>
      </c>
      <c r="N12" s="10" t="inlineStr">
        <is>
          <t>Transição</t>
        </is>
      </c>
    </row>
    <row r="14">
      <c r="B14" s="3" t="inlineStr">
        <is>
          <t>TOTAL</t>
        </is>
      </c>
      <c r="I14" s="17" t="n">
        <v>31.928</v>
      </c>
      <c r="J14" s="3" t="inlineStr">
        <is>
          <t>kW instalados</t>
        </is>
      </c>
    </row>
    <row r="15">
      <c r="B15" s="3" t="inlineStr">
        <is>
          <t>Consumo 24h:</t>
        </is>
      </c>
      <c r="I15" s="17" t="n">
        <v>766</v>
      </c>
      <c r="J15" s="3" t="inlineStr">
        <is>
          <t>kWh/dia</t>
        </is>
      </c>
    </row>
    <row r="18">
      <c r="B18" s="5" t="inlineStr">
        <is>
          <t>DISTRIBUIÇÃO DE POTÊNCIA INSTALADA</t>
        </is>
      </c>
    </row>
    <row r="19">
      <c r="A19" s="9" t="inlineStr"/>
      <c r="B19" s="9" t="inlineStr">
        <is>
          <t>Tag</t>
        </is>
      </c>
      <c r="C19" s="9" t="inlineStr">
        <is>
          <t>P_inst [kW]</t>
        </is>
      </c>
      <c r="D19" s="9" t="inlineStr">
        <is>
          <t>% do Total</t>
        </is>
      </c>
      <c r="E19" s="9" t="inlineStr">
        <is>
          <t>Observação</t>
        </is>
      </c>
    </row>
    <row r="20">
      <c r="A20" s="10" t="inlineStr"/>
      <c r="B20" s="10" t="inlineStr">
        <is>
          <t>P-101 A/B</t>
        </is>
      </c>
      <c r="C20" s="10" t="n">
        <v>0.137</v>
      </c>
      <c r="D20" s="10" t="inlineStr">
        <is>
          <t>0.4%</t>
        </is>
      </c>
      <c r="E20" s="10" t="inlineStr">
        <is>
          <t>Desprezível no contexto energético</t>
        </is>
      </c>
    </row>
    <row r="21">
      <c r="A21" s="10" t="inlineStr"/>
      <c r="B21" s="10" t="inlineStr">
        <is>
          <t>P-102 A/B</t>
        </is>
      </c>
      <c r="C21" s="10" t="n">
        <v>0.034</v>
      </c>
      <c r="D21" s="10" t="inlineStr">
        <is>
          <t>0.1%</t>
        </is>
      </c>
      <c r="E21" s="10" t="inlineStr">
        <is>
          <t>Desprezível no contexto energético</t>
        </is>
      </c>
    </row>
    <row r="22">
      <c r="A22" s="10" t="inlineStr"/>
      <c r="B22" s="10" t="inlineStr">
        <is>
          <t>P-103</t>
        </is>
      </c>
      <c r="C22" s="10" t="n">
        <v>0.015</v>
      </c>
      <c r="D22" s="10" t="inlineStr">
        <is>
          <t>0.0%</t>
        </is>
      </c>
      <c r="E22" s="10" t="inlineStr">
        <is>
          <t>Desprezível no contexto energético</t>
        </is>
      </c>
    </row>
    <row r="23">
      <c r="A23" s="10" t="inlineStr"/>
      <c r="B23" s="10" t="inlineStr">
        <is>
          <t>P-104</t>
        </is>
      </c>
      <c r="C23" s="10" t="n">
        <v>0.02</v>
      </c>
      <c r="D23" s="10" t="inlineStr">
        <is>
          <t>0.1%</t>
        </is>
      </c>
      <c r="E23" s="10" t="inlineStr">
        <is>
          <t>Desprezível no contexto energético</t>
        </is>
      </c>
    </row>
    <row r="24">
      <c r="A24" s="10" t="inlineStr"/>
      <c r="B24" s="10" t="inlineStr">
        <is>
          <t>P-105 A/B</t>
        </is>
      </c>
      <c r="C24" s="10" t="n">
        <v>1.043</v>
      </c>
      <c r="D24" s="10" t="inlineStr">
        <is>
          <t>3.3%</t>
        </is>
      </c>
      <c r="E24" s="10" t="inlineStr"/>
    </row>
    <row r="25">
      <c r="A25" s="10" t="inlineStr"/>
      <c r="B25" s="10" t="inlineStr">
        <is>
          <t>P-106</t>
        </is>
      </c>
      <c r="C25" s="10" t="n">
        <v>29.967</v>
      </c>
      <c r="D25" s="10" t="inlineStr">
        <is>
          <t>93.9%</t>
        </is>
      </c>
      <c r="E25" s="19" t="inlineStr">
        <is>
          <t>⚠ BOMBA DOMINANTE — foco de otimização</t>
        </is>
      </c>
    </row>
    <row r="26">
      <c r="A26" s="10" t="inlineStr"/>
      <c r="B26" s="10" t="inlineStr">
        <is>
          <t>P-107</t>
        </is>
      </c>
      <c r="C26" s="10" t="n">
        <v>0.491</v>
      </c>
      <c r="D26" s="10" t="inlineStr">
        <is>
          <t>1.5%</t>
        </is>
      </c>
      <c r="E26" s="10" t="inlineStr"/>
    </row>
    <row r="27">
      <c r="A27" s="10" t="inlineStr"/>
      <c r="B27" s="10" t="inlineStr">
        <is>
          <t>P-108</t>
        </is>
      </c>
      <c r="C27" s="10" t="n">
        <v>0.22</v>
      </c>
      <c r="D27" s="10" t="inlineStr">
        <is>
          <t>0.7%</t>
        </is>
      </c>
      <c r="E27" s="10" t="inlineStr">
        <is>
          <t>Desprezível no contexto energético</t>
        </is>
      </c>
    </row>
  </sheetData>
  <mergeCells count="2">
    <mergeCell ref="B2:I2"/>
    <mergeCell ref="B18:F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4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0" customWidth="1" min="4" max="4"/>
    <col width="30" customWidth="1" min="5" max="5"/>
  </cols>
  <sheetData>
    <row r="2">
      <c r="B2" s="1" t="inlineStr">
        <is>
          <t>DESSECADOR S-101 — DIMENSIONAMENTO (PSA)</t>
        </is>
      </c>
    </row>
    <row r="4">
      <c r="B4" s="5" t="inlineStr">
        <is>
          <t>1. REQUISITO NORMATIVO</t>
        </is>
      </c>
    </row>
    <row r="5">
      <c r="B5" s="3" t="inlineStr">
        <is>
          <t>Norma:</t>
        </is>
      </c>
      <c r="C5" s="4" t="inlineStr">
        <is>
          <t>ANP Resolução nº 685/2017</t>
        </is>
      </c>
      <c r="D5" s="8" t="inlineStr">
        <is>
          <t>Especificação biometano Brasil</t>
        </is>
      </c>
    </row>
    <row r="6">
      <c r="B6" s="3" t="inlineStr">
        <is>
          <t>Parâmetro:</t>
        </is>
      </c>
      <c r="C6" s="4" t="inlineStr">
        <is>
          <t>Ponto de orvalho ≤ −45°C</t>
        </is>
      </c>
      <c r="D6" s="8" t="inlineStr">
        <is>
          <t>Equivale a ≤ 7 mg H₂O/Nm³</t>
        </is>
      </c>
    </row>
    <row r="7">
      <c r="B7" s="3" t="inlineStr">
        <is>
          <t>Justificativa:</t>
        </is>
      </c>
      <c r="C7" s="4" t="inlineStr">
        <is>
          <t>Evitar condensação em gasodutos</t>
        </is>
      </c>
      <c r="D7" s="8" t="inlineStr">
        <is>
          <t>Corrosão + hidrato + entupimento</t>
        </is>
      </c>
    </row>
    <row r="9">
      <c r="B9" s="5" t="inlineStr">
        <is>
          <t>2. DADOS DE ENTRADA</t>
        </is>
      </c>
    </row>
    <row r="10">
      <c r="B10" s="3" t="inlineStr">
        <is>
          <t>Q_biometano</t>
        </is>
      </c>
      <c r="C10" s="4" t="inlineStr">
        <is>
          <t>4406 Nm³/dia = 183.6 Nm³/h</t>
        </is>
      </c>
      <c r="D10" s="6" t="inlineStr">
        <is>
          <t>Balanço de Massa ECOGAS</t>
        </is>
      </c>
    </row>
    <row r="11">
      <c r="B11" s="3" t="inlineStr">
        <is>
          <t>Pressão operação</t>
        </is>
      </c>
      <c r="C11" s="4" t="inlineStr">
        <is>
          <t>10 bar abs</t>
        </is>
      </c>
      <c r="D11" s="6" t="inlineStr">
        <is>
          <t>Saída coluna C-101 (HPWS)</t>
        </is>
      </c>
    </row>
    <row r="12">
      <c r="B12" s="3" t="inlineStr">
        <is>
          <t>Temperatura</t>
        </is>
      </c>
      <c r="C12" s="4" t="inlineStr">
        <is>
          <t>20°C</t>
        </is>
      </c>
      <c r="D12" s="6" t="inlineStr">
        <is>
          <t>Após resfriamento HE-102</t>
        </is>
      </c>
    </row>
    <row r="13">
      <c r="B13" s="3" t="inlineStr">
        <is>
          <t>Umidade entrada</t>
        </is>
      </c>
      <c r="C13" s="4" t="inlineStr">
        <is>
          <t>2000 mg/Nm³</t>
        </is>
      </c>
      <c r="D13" s="6" t="inlineStr">
        <is>
          <t>Saturado a 10 bar, 20°C (Antoine)</t>
        </is>
      </c>
    </row>
    <row r="14">
      <c r="B14" s="3" t="inlineStr">
        <is>
          <t>Umidade saída</t>
        </is>
      </c>
      <c r="C14" s="4" t="inlineStr">
        <is>
          <t>7 mg/Nm³</t>
        </is>
      </c>
      <c r="D14" s="6" t="inlineStr">
        <is>
          <t>ANP 685/2017 (orvalho ≤ −45°C)</t>
        </is>
      </c>
    </row>
    <row r="15">
      <c r="B15" s="3" t="inlineStr">
        <is>
          <t>Composição gás</t>
        </is>
      </c>
      <c r="C15" s="4" t="inlineStr">
        <is>
          <t>≥97% CH₄ + traços CO₂ + N₂</t>
        </is>
      </c>
      <c r="D15" s="6" t="inlineStr">
        <is>
          <t>Pós-scrubbing C-101</t>
        </is>
      </c>
    </row>
    <row r="17">
      <c r="B17" s="5" t="inlineStr">
        <is>
          <t>3. CÁLCULO PASSO A PASSO</t>
        </is>
      </c>
    </row>
    <row r="18">
      <c r="A18" s="9" t="inlineStr"/>
      <c r="B18" s="9" t="inlineStr">
        <is>
          <t>Etapa</t>
        </is>
      </c>
      <c r="C18" s="9" t="inlineStr">
        <is>
          <t>Fórmula / Cálculo</t>
        </is>
      </c>
      <c r="D18" s="9" t="inlineStr">
        <is>
          <t>Resultado</t>
        </is>
      </c>
      <c r="E18" s="9" t="inlineStr">
        <is>
          <t>Referência</t>
        </is>
      </c>
    </row>
    <row r="19">
      <c r="A19" s="10" t="inlineStr"/>
      <c r="B19" s="10" t="inlineStr">
        <is>
          <t>Água a remover [mg/Nm³]</t>
        </is>
      </c>
      <c r="C19" s="10" t="inlineStr">
        <is>
          <t>(2000 − 7)</t>
        </is>
      </c>
      <c r="D19" s="10" t="inlineStr">
        <is>
          <t>1993 mg/Nm³</t>
        </is>
      </c>
      <c r="E19" s="10" t="inlineStr">
        <is>
          <t>ANP 685/2017</t>
        </is>
      </c>
    </row>
    <row r="20">
      <c r="A20" s="10" t="inlineStr"/>
      <c r="B20" s="10" t="inlineStr">
        <is>
          <t>Água a remover [kg/h]</t>
        </is>
      </c>
      <c r="C20" s="10" t="inlineStr">
        <is>
          <t>1993 × 183.6 / 10⁶</t>
        </is>
      </c>
      <c r="D20" s="10" t="inlineStr">
        <is>
          <t>0.3659 kg/h</t>
        </is>
      </c>
      <c r="E20" s="10" t="inlineStr">
        <is>
          <t>Conversão unidades</t>
        </is>
      </c>
    </row>
    <row r="21">
      <c r="A21" s="10" t="inlineStr"/>
      <c r="B21" s="10" t="inlineStr">
        <is>
          <t>Capacidade adsorvente</t>
        </is>
      </c>
      <c r="C21" s="10" t="inlineStr">
        <is>
          <t>Peneira molecular 4Å: 20% p/p</t>
        </is>
      </c>
      <c r="D21" s="10" t="inlineStr">
        <is>
          <t>0.2 kg H₂O/kg ads</t>
        </is>
      </c>
      <c r="E21" s="10" t="inlineStr">
        <is>
          <t>Perry's (2019), Tab. 22-35</t>
        </is>
      </c>
    </row>
    <row r="22">
      <c r="A22" s="10" t="inlineStr"/>
      <c r="B22" s="10" t="inlineStr">
        <is>
          <t>Ciclo de adsorção</t>
        </is>
      </c>
      <c r="C22" s="10" t="inlineStr">
        <is>
          <t>Tempo entre regenerações</t>
        </is>
      </c>
      <c r="D22" s="10" t="inlineStr">
        <is>
          <t>8 h</t>
        </is>
      </c>
      <c r="E22" s="10" t="inlineStr">
        <is>
          <t>Prática industrial PSA</t>
        </is>
      </c>
    </row>
    <row r="23">
      <c r="A23" s="10" t="inlineStr"/>
      <c r="B23" s="10" t="inlineStr">
        <is>
          <t>Massa adsorvente (mín.)</t>
        </is>
      </c>
      <c r="C23" s="10" t="inlineStr">
        <is>
          <t>0.3659 × 8 / 0.2</t>
        </is>
      </c>
      <c r="D23" s="10" t="inlineStr">
        <is>
          <t>14.64 kg</t>
        </is>
      </c>
      <c r="E23" s="10" t="inlineStr">
        <is>
          <t>Balanço de massa</t>
        </is>
      </c>
    </row>
    <row r="24">
      <c r="A24" s="10" t="inlineStr"/>
      <c r="B24" s="10" t="inlineStr">
        <is>
          <t>Margem de projeto</t>
        </is>
      </c>
      <c r="C24" s="10" t="inlineStr">
        <is>
          <t>× 1.5 (50% segurança)</t>
        </is>
      </c>
      <c r="D24" s="10" t="inlineStr">
        <is>
          <t>22.0 kg por torre</t>
        </is>
      </c>
      <c r="E24" s="10" t="inlineStr">
        <is>
          <t>Heurística projeto</t>
        </is>
      </c>
    </row>
    <row r="25">
      <c r="A25" s="10" t="inlineStr"/>
      <c r="B25" s="10" t="inlineStr">
        <is>
          <t>Volume do leito</t>
        </is>
      </c>
      <c r="C25" s="10" t="inlineStr">
        <is>
          <t>22.0 / 700</t>
        </is>
      </c>
      <c r="D25" s="10" t="inlineStr">
        <is>
          <t>31.4 L = 0.0314 m³</t>
        </is>
      </c>
      <c r="E25" s="10" t="inlineStr">
        <is>
          <t>ρ_bulk = 700 kg/m³</t>
        </is>
      </c>
    </row>
    <row r="26">
      <c r="A26" s="10" t="inlineStr"/>
      <c r="B26" s="10" t="inlineStr">
        <is>
          <t>Diâmetro do vaso</t>
        </is>
      </c>
      <c r="C26" s="10" t="inlineStr">
        <is>
          <t>DN 250 mm (10") — padrão</t>
        </is>
      </c>
      <c r="D26" s="10" t="inlineStr">
        <is>
          <t>250 mm</t>
        </is>
      </c>
      <c r="E26" s="10" t="inlineStr">
        <is>
          <t>Catálogo vasos PN16</t>
        </is>
      </c>
    </row>
    <row r="27">
      <c r="A27" s="10" t="inlineStr"/>
      <c r="B27" s="10" t="inlineStr">
        <is>
          <t>Área transversal</t>
        </is>
      </c>
      <c r="C27" s="10" t="inlineStr">
        <is>
          <t>π×(0.250)²/4</t>
        </is>
      </c>
      <c r="D27" s="10" t="inlineStr">
        <is>
          <t>0.04909 m²</t>
        </is>
      </c>
      <c r="E27" s="10" t="inlineStr">
        <is>
          <t>Geometria</t>
        </is>
      </c>
    </row>
    <row r="28">
      <c r="A28" s="10" t="inlineStr"/>
      <c r="B28" s="10" t="inlineStr">
        <is>
          <t>Altura do leito</t>
        </is>
      </c>
      <c r="C28" s="10" t="inlineStr">
        <is>
          <t>V / A = 0.0314 / 0.04909</t>
        </is>
      </c>
      <c r="D28" s="10" t="inlineStr">
        <is>
          <t>0.639 m</t>
        </is>
      </c>
      <c r="E28" s="10" t="inlineStr">
        <is>
          <t>Cálculo</t>
        </is>
      </c>
    </row>
    <row r="29">
      <c r="A29" s="10" t="inlineStr"/>
      <c r="B29" s="10" t="inlineStr">
        <is>
          <t>Altura total vaso</t>
        </is>
      </c>
      <c r="C29" s="10" t="inlineStr">
        <is>
          <t>H_leito + 0.40 (distribuidores)</t>
        </is>
      </c>
      <c r="D29" s="10" t="inlineStr">
        <is>
          <t>1.04 m</t>
        </is>
      </c>
      <c r="E29" s="10" t="inlineStr">
        <is>
          <t>Prática de projeto</t>
        </is>
      </c>
    </row>
    <row r="32">
      <c r="B32" s="5" t="inlineStr">
        <is>
          <t>4. ESPECIFICAÇÃO FINAL</t>
        </is>
      </c>
    </row>
    <row r="33">
      <c r="B33" s="3" t="inlineStr">
        <is>
          <t>Tag:</t>
        </is>
      </c>
      <c r="C33" s="4" t="inlineStr">
        <is>
          <t>S-101 A/B (twin-tower)</t>
        </is>
      </c>
    </row>
    <row r="34">
      <c r="B34" s="3" t="inlineStr">
        <is>
          <t>Tipo:</t>
        </is>
      </c>
      <c r="C34" s="4" t="inlineStr">
        <is>
          <t>PSA (Pressure Swing Adsorption)</t>
        </is>
      </c>
    </row>
    <row r="35">
      <c r="B35" s="3" t="inlineStr">
        <is>
          <t>Adsorvente:</t>
        </is>
      </c>
      <c r="C35" s="4" t="inlineStr">
        <is>
          <t>Peneira molecular 4Å (zeólita sintética tipo A)</t>
        </is>
      </c>
    </row>
    <row r="36">
      <c r="B36" s="3" t="inlineStr">
        <is>
          <t>Nº de torres:</t>
        </is>
      </c>
      <c r="C36" s="4" t="inlineStr">
        <is>
          <t>2 (uma adsorve enquanto outra regenera)</t>
        </is>
      </c>
    </row>
    <row r="37">
      <c r="B37" s="3" t="inlineStr">
        <is>
          <t>Massa por torre:</t>
        </is>
      </c>
      <c r="C37" s="4" t="inlineStr">
        <is>
          <t>22.0 kg</t>
        </is>
      </c>
    </row>
    <row r="38">
      <c r="B38" s="3" t="inlineStr">
        <is>
          <t>Ciclo:</t>
        </is>
      </c>
      <c r="C38" s="4" t="inlineStr">
        <is>
          <t>8h adsorção + 8h regeneração (alternado)</t>
        </is>
      </c>
    </row>
    <row r="39">
      <c r="B39" s="3" t="inlineStr">
        <is>
          <t>Vaso D × H:</t>
        </is>
      </c>
      <c r="C39" s="4" t="inlineStr">
        <is>
          <t>DN 250 × 1039 mm</t>
        </is>
      </c>
    </row>
    <row r="40">
      <c r="B40" s="3" t="inlineStr">
        <is>
          <t>Classe de pressão:</t>
        </is>
      </c>
      <c r="C40" s="4" t="inlineStr">
        <is>
          <t>PN16 (P_operação = 10 bar)</t>
        </is>
      </c>
    </row>
    <row r="41">
      <c r="B41" s="3" t="inlineStr">
        <is>
          <t>Material vaso:</t>
        </is>
      </c>
      <c r="C41" s="4" t="inlineStr">
        <is>
          <t>Aço carbono SA-516 Gr.70 (ASME VIII Div.1)</t>
        </is>
      </c>
    </row>
    <row r="42">
      <c r="B42" s="3" t="inlineStr">
        <is>
          <t>ΔP estimada:</t>
        </is>
      </c>
      <c r="C42" s="4" t="inlineStr">
        <is>
          <t>20–50 kPa (desprezível vs 10 bar do sistema)</t>
        </is>
      </c>
    </row>
    <row r="43">
      <c r="B43" s="3" t="inlineStr">
        <is>
          <t>Regeneração:</t>
        </is>
      </c>
      <c r="C43" s="4" t="inlineStr">
        <is>
          <t>Despressurização + purga com gás seco</t>
        </is>
      </c>
    </row>
    <row r="44">
      <c r="B44" s="3" t="inlineStr">
        <is>
          <t>Instrumentação:</t>
        </is>
      </c>
      <c r="C44" s="4" t="inlineStr">
        <is>
          <t>Transmissor de ponto de orvalho (online)</t>
        </is>
      </c>
    </row>
    <row r="47">
      <c r="B47" s="5" t="inlineStr">
        <is>
          <t>5. VERIFICAÇÃO DE CONFORMIDADE</t>
        </is>
      </c>
    </row>
    <row r="48">
      <c r="B48" s="3" t="inlineStr">
        <is>
          <t>ANP 685/2017 — Ponto de orvalho:</t>
        </is>
      </c>
      <c r="C48" s="4" t="inlineStr">
        <is>
          <t>≤ −45°C</t>
        </is>
      </c>
      <c r="D48" s="17" t="inlineStr">
        <is>
          <t>✓ CONFORME</t>
        </is>
      </c>
    </row>
    <row r="49">
      <c r="B49" s="3" t="inlineStr">
        <is>
          <t>ANP 685/2017 — Teor H₂O:</t>
        </is>
      </c>
      <c r="C49" s="4" t="inlineStr">
        <is>
          <t>≤ 7 mg/Nm³</t>
        </is>
      </c>
      <c r="D49" s="17" t="inlineStr">
        <is>
          <t>✓ CONFORME</t>
        </is>
      </c>
    </row>
  </sheetData>
  <mergeCells count="6">
    <mergeCell ref="B32:D32"/>
    <mergeCell ref="B4:D4"/>
    <mergeCell ref="B17:D17"/>
    <mergeCell ref="B9:D9"/>
    <mergeCell ref="B47:D47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70" customWidth="1" min="3" max="3"/>
    <col width="30" customWidth="1" min="4" max="4"/>
  </cols>
  <sheetData>
    <row r="2">
      <c r="B2" s="1" t="inlineStr">
        <is>
          <t>REFERÊNCIAS BIBLIOGRÁFICAS</t>
        </is>
      </c>
    </row>
    <row r="4">
      <c r="B4" s="5" t="inlineStr">
        <is>
          <t>LIVROS-TEXTO E HANDBOOKS</t>
        </is>
      </c>
    </row>
    <row r="5">
      <c r="B5" s="3" t="inlineStr">
        <is>
          <t>[1]</t>
        </is>
      </c>
      <c r="C5" s="4" t="inlineStr">
        <is>
          <t>FRANZINI, J.B.; FINNEMORE, E.J. Fluid Mechanics with Engineering Applications. 10ª ed. McGraw-Hill, 1994. Cap. 10: Pumps.</t>
        </is>
      </c>
    </row>
    <row r="6">
      <c r="C6" s="8" t="inlineStr">
        <is>
          <t>→ Uso: Equações fundamentais de bombeamento, Bernoulli, potência hidráulica</t>
        </is>
      </c>
    </row>
    <row r="7">
      <c r="B7" s="3" t="inlineStr">
        <is>
          <t>[2]</t>
        </is>
      </c>
      <c r="C7" s="4" t="inlineStr">
        <is>
          <t>METCALF &amp; EDDY (TCHOBANOGLOUS, G. et al.). Wastewater Engineering: Treatment and Resource Recovery. 5ª ed. McGraw-Hill, 2014. Cap. 10: Pumping.</t>
        </is>
      </c>
    </row>
    <row r="8">
      <c r="C8" s="8" t="inlineStr">
        <is>
          <t>→ Uso: Eficiências de bombas para lodo, critérios de seleção, NPSH</t>
        </is>
      </c>
    </row>
    <row r="9">
      <c r="B9" s="3" t="inlineStr">
        <is>
          <t>[3]</t>
        </is>
      </c>
      <c r="C9" s="4" t="inlineStr">
        <is>
          <t>KARASSIK, I.J. et al. Pump Handbook. 3ª ed. McGraw-Hill, 2001.</t>
        </is>
      </c>
    </row>
    <row r="10">
      <c r="C10" s="8" t="inlineStr">
        <is>
          <t>→ Uso: Curvas de bomba, classificação, eficiências por tipo</t>
        </is>
      </c>
    </row>
    <row r="11">
      <c r="B11" s="3" t="inlineStr">
        <is>
          <t>[4]</t>
        </is>
      </c>
      <c r="C11" s="4" t="inlineStr">
        <is>
          <t>PERRY, R.H.; GREEN, D.W. Perry's Chemical Engineers' Handbook. 9ª ed. McGraw-Hill, 2019. Cap. 10 (Fluid Transport) e Cap. 22 (Adsorption).</t>
        </is>
      </c>
    </row>
    <row r="12">
      <c r="C12" s="8" t="inlineStr">
        <is>
          <t>→ Uso: Dimensionamento de bombas, peneiras moleculares, PSA</t>
        </is>
      </c>
    </row>
    <row r="13">
      <c r="B13" s="3" t="inlineStr">
        <is>
          <t>[5]</t>
        </is>
      </c>
      <c r="C13" s="4" t="inlineStr">
        <is>
          <t>CRANE CO. Flow of Fluids Through Valves, Fittings, and Pipe. Technical Paper No. 410. Crane Co., 2011.</t>
        </is>
      </c>
    </row>
    <row r="14">
      <c r="C14" s="8" t="inlineStr">
        <is>
          <t>→ Uso: Perdas de carga, comprimentos equivalentes, Darcy-Weisbach</t>
        </is>
      </c>
    </row>
    <row r="15">
      <c r="B15" s="3" t="inlineStr">
        <is>
          <t>[6]</t>
        </is>
      </c>
      <c r="C15" s="4" t="inlineStr">
        <is>
          <t>COULSON, J.M.; RICHARDSON, J.F. Chemical Engineering. Vol. 1, 6ª ed. Butterworth-Heinemann, 1999. Cap. 8.</t>
        </is>
      </c>
    </row>
    <row r="16">
      <c r="C16" s="8" t="inlineStr">
        <is>
          <t>→ Uso: Seleção de bombas, curvas do sistema, ponto de operação</t>
        </is>
      </c>
    </row>
    <row r="18">
      <c r="B18" s="5" t="inlineStr">
        <is>
          <t>NORMAS TÉCNICAS</t>
        </is>
      </c>
    </row>
    <row r="19">
      <c r="B19" s="3" t="inlineStr">
        <is>
          <t>[7]</t>
        </is>
      </c>
      <c r="C19" s="4" t="inlineStr">
        <is>
          <t>API 610 — Centrifugal Pumps for Petroleum, Petrochemical and Natural Gas Industries. 12ª ed., 2021.</t>
        </is>
      </c>
    </row>
    <row r="20">
      <c r="C20" s="8" t="inlineStr">
        <is>
          <t>→ Uso: Norma de projeto para bombas centrífugas industriais</t>
        </is>
      </c>
    </row>
    <row r="21">
      <c r="B21" s="3" t="inlineStr">
        <is>
          <t>[8]</t>
        </is>
      </c>
      <c r="C21" s="4" t="inlineStr">
        <is>
          <t>API 676 — Positive Displacement Pumps — Rotary. 4ª ed., 2019.</t>
        </is>
      </c>
    </row>
    <row r="22">
      <c r="C22" s="8" t="inlineStr">
        <is>
          <t>→ Uso: Norma para bombas de deslocamento positivo (Moineau)</t>
        </is>
      </c>
    </row>
    <row r="23">
      <c r="B23" s="3" t="inlineStr">
        <is>
          <t>[9]</t>
        </is>
      </c>
      <c r="C23" s="4" t="inlineStr">
        <is>
          <t>NBR IEC 60034-30-1:2019 — Máquinas elétricas girantes. Parte 30-1: Classes de eficiência.</t>
        </is>
      </c>
    </row>
    <row r="24">
      <c r="C24" s="8" t="inlineStr">
        <is>
          <t>→ Uso: Rendimentos de motores IE1 a IE4 por faixa de potência</t>
        </is>
      </c>
    </row>
    <row r="25">
      <c r="B25" s="3" t="inlineStr">
        <is>
          <t>[10]</t>
        </is>
      </c>
      <c r="C25" s="4" t="inlineStr">
        <is>
          <t>ISO 5199:2002 — Technical specifications for centrifugal pumps — Class II.</t>
        </is>
      </c>
    </row>
    <row r="26">
      <c r="C26" s="8" t="inlineStr">
        <is>
          <t>→ Uso: Requisitos de projeto, materiais e testes</t>
        </is>
      </c>
    </row>
    <row r="27">
      <c r="B27" s="3" t="inlineStr">
        <is>
          <t>[11]</t>
        </is>
      </c>
      <c r="C27" s="4" t="inlineStr">
        <is>
          <t>ASME Boiler &amp; Pressure Vessel Code, Seção VIII, Divisão 1 — Vasos de pressão.</t>
        </is>
      </c>
    </row>
    <row r="28">
      <c r="C28" s="8" t="inlineStr">
        <is>
          <t>→ Uso: Projeto mecânico do vaso do dessecador S-101</t>
        </is>
      </c>
    </row>
    <row r="29">
      <c r="B29" s="3" t="inlineStr">
        <is>
          <t>[12]</t>
        </is>
      </c>
      <c r="C29" s="4" t="inlineStr">
        <is>
          <t>ANP Resolução nº 685, de 29 de junho de 2017 — Especificação do biometano.</t>
        </is>
      </c>
    </row>
    <row r="30">
      <c r="C30" s="8" t="inlineStr">
        <is>
          <t>→ Uso: Ponto de orvalho ≤ −45°C, teor H₂O ≤ 7 mg/Nm³</t>
        </is>
      </c>
    </row>
    <row r="32">
      <c r="B32" s="5" t="inlineStr">
        <is>
          <t>CATÁLOGOS E FONTES INDUSTRIAIS</t>
        </is>
      </c>
    </row>
    <row r="33">
      <c r="B33" s="3" t="inlineStr">
        <is>
          <t>[13]</t>
        </is>
      </c>
      <c r="C33" s="4" t="inlineStr">
        <is>
          <t>Grundfos — Catálogo CRN (bombas multi-estágio verticais). www.grundfos.com</t>
        </is>
      </c>
    </row>
    <row r="34">
      <c r="C34" s="8" t="inlineStr">
        <is>
          <t>→ Uso: Seleção P-106, curvas de desempenho, NPSH</t>
        </is>
      </c>
    </row>
    <row r="35">
      <c r="B35" s="3" t="inlineStr">
        <is>
          <t>[14]</t>
        </is>
      </c>
      <c r="C35" s="4" t="inlineStr">
        <is>
          <t>KSB — Catálogo Multitec (bombas multi-estágio de alta pressão). www.ksb.com</t>
        </is>
      </c>
    </row>
    <row r="36">
      <c r="C36" s="8" t="inlineStr">
        <is>
          <t>→ Uso: Alternativa P-106</t>
        </is>
      </c>
    </row>
    <row r="37">
      <c r="B37" s="3" t="inlineStr">
        <is>
          <t>[15]</t>
        </is>
      </c>
      <c r="C37" s="4" t="inlineStr">
        <is>
          <t>NETZSCH — Catálogo NEMO (bombas de cavidade progressiva). www.netzsch.com</t>
        </is>
      </c>
    </row>
    <row r="38">
      <c r="C38" s="8" t="inlineStr">
        <is>
          <t>→ Uso: Seleção P-104, P-108 (fluidos viscosos)</t>
        </is>
      </c>
    </row>
    <row r="39">
      <c r="B39" s="3" t="inlineStr">
        <is>
          <t>[16]</t>
        </is>
      </c>
      <c r="C39" s="4" t="inlineStr">
        <is>
          <t>UOP/Honeywell — Molecular Sieves Technical Data. PSA Design Guidelines.</t>
        </is>
      </c>
    </row>
    <row r="40">
      <c r="C40" s="8" t="inlineStr">
        <is>
          <t>→ Uso: Capacidade adsorvente, ciclos de regeneração</t>
        </is>
      </c>
    </row>
    <row r="42">
      <c r="B42" s="5" t="inlineStr">
        <is>
          <t>DOCUMENTOS INTERNOS ECOGAS</t>
        </is>
      </c>
    </row>
    <row r="43">
      <c r="B43" s="3" t="inlineStr">
        <is>
          <t>[17]</t>
        </is>
      </c>
      <c r="C43" s="4" t="inlineStr">
        <is>
          <t>Diretrizes ECOGAS v1 (DIRETRIZES_ECOGAS_v1.docx) — Grupo ECOGAS, 2026.</t>
        </is>
      </c>
    </row>
    <row r="44">
      <c r="C44" s="8" t="inlineStr">
        <is>
          <t>→ Uso: Metodologia de dimensionamento, parâmetros de projeto, cotas</t>
        </is>
      </c>
    </row>
    <row r="45">
      <c r="B45" s="3" t="inlineStr">
        <is>
          <t>[18]</t>
        </is>
      </c>
      <c r="C45" s="4" t="inlineStr">
        <is>
          <t>Balanço de Massa ECOGAS (Planilha_Biogas_Codigestao.xlsx) — Grupo ECOGAS, 2026.</t>
        </is>
      </c>
    </row>
    <row r="46">
      <c r="C46" s="8" t="inlineStr">
        <is>
          <t>→ Uso: Vazões de cada corrente (validado: erro = 0 kg/d)</t>
        </is>
      </c>
    </row>
    <row r="47">
      <c r="B47" s="3" t="inlineStr">
        <is>
          <t>[19]</t>
        </is>
      </c>
      <c r="C47" s="4" t="inlineStr">
        <is>
          <t>PFD ECOGAS (ECOGAS_PFD_2.drawio) — Grupo ECOGAS, 2026.</t>
        </is>
      </c>
    </row>
    <row r="48">
      <c r="C48" s="8" t="inlineStr">
        <is>
          <t>→ Uso: Cotas geométricas, layout de equipamentos</t>
        </is>
      </c>
    </row>
    <row r="49">
      <c r="B49" s="3" t="inlineStr">
        <is>
          <t>[20]</t>
        </is>
      </c>
      <c r="C49" s="4" t="inlineStr">
        <is>
          <t>Memorial Hidráulico (ecogas_hydraulics.py) — Gabriel Miranda, 2026.</t>
        </is>
      </c>
    </row>
    <row r="50">
      <c r="C50" s="8" t="inlineStr">
        <is>
          <t>→ Uso: Dimensionamento detalhado de tubulações (12 trechos)</t>
        </is>
      </c>
    </row>
    <row r="51">
      <c r="B51" s="3" t="inlineStr">
        <is>
          <t>[21]</t>
        </is>
      </c>
      <c r="C51" s="4" t="inlineStr">
        <is>
          <t>Modelo HPWS (hpws.ipynb) — Gabriel Miranda, 2026.</t>
        </is>
      </c>
    </row>
    <row r="52">
      <c r="C52" s="8" t="inlineStr">
        <is>
          <t>→ Uso: Dimensionamento coluna de absorção C-101 (Onda 1968)</t>
        </is>
      </c>
    </row>
  </sheetData>
  <mergeCells count="5">
    <mergeCell ref="B2:C2"/>
    <mergeCell ref="B42:C42"/>
    <mergeCell ref="B32:C32"/>
    <mergeCell ref="B18:C1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2026-05-23T16:08:39Z</dcterms:created>
  <dcterms:modified xsi:type="dcterms:W3CDTF">2026-05-23T16:08:39Z</dcterms:modified>
</cp:coreProperties>
</file>