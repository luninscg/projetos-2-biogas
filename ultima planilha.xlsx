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pi\Documents\TCC\"/>
    </mc:Choice>
  </mc:AlternateContent>
  <xr:revisionPtr revIDLastSave="0" documentId="13_ncr:1_{6EE4CACC-2EFC-4F9D-BD8C-4D6B666CACE9}" xr6:coauthVersionLast="47" xr6:coauthVersionMax="47" xr10:uidLastSave="{00000000-0000-0000-0000-000000000000}"/>
  <bookViews>
    <workbookView xWindow="-105" yWindow="0" windowWidth="14610" windowHeight="15585" activeTab="2" xr2:uid="{5E372B4A-FA02-4737-A4CB-9DD40ECE7FE2}"/>
  </bookViews>
  <sheets>
    <sheet name="BM" sheetId="12" r:id="rId1"/>
    <sheet name="Propriedades dos Fluidos" sheetId="14" r:id="rId2"/>
    <sheet name="Coluna de Absorção" sheetId="16" r:id="rId3"/>
    <sheet name="Tubulações" sheetId="9" r:id="rId4"/>
    <sheet name="Tubulações (2)" sheetId="15" r:id="rId5"/>
    <sheet name="Cálculos" sheetId="10" r:id="rId6"/>
    <sheet name="Equipamentos" sheetId="11" r:id="rId7"/>
    <sheet name="Estimativas" sheetId="6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4" i="16" l="1"/>
  <c r="O5" i="16"/>
  <c r="O6" i="16"/>
  <c r="O7" i="16"/>
  <c r="O8" i="16"/>
  <c r="O9" i="16"/>
  <c r="O10" i="16"/>
  <c r="O11" i="16"/>
  <c r="O12" i="16"/>
  <c r="O13" i="16"/>
  <c r="O3" i="16"/>
  <c r="N15" i="12"/>
  <c r="C2" i="16" s="1"/>
  <c r="M3" i="16" s="1"/>
  <c r="N3" i="16" s="1"/>
  <c r="L4" i="16"/>
  <c r="L5" i="16"/>
  <c r="L6" i="16"/>
  <c r="L7" i="16"/>
  <c r="L8" i="16"/>
  <c r="L9" i="16"/>
  <c r="L10" i="16"/>
  <c r="L11" i="16"/>
  <c r="L12" i="16"/>
  <c r="L13" i="16"/>
  <c r="L3" i="16"/>
  <c r="K4" i="16"/>
  <c r="K5" i="16" s="1"/>
  <c r="K6" i="16" s="1"/>
  <c r="K7" i="16" s="1"/>
  <c r="K8" i="16" s="1"/>
  <c r="K9" i="16" s="1"/>
  <c r="K10" i="16" s="1"/>
  <c r="K11" i="16" s="1"/>
  <c r="K12" i="16" s="1"/>
  <c r="K13" i="16" s="1"/>
  <c r="K3" i="16"/>
  <c r="C66" i="16"/>
  <c r="G64" i="16" s="1"/>
  <c r="C64" i="16"/>
  <c r="G63" i="16"/>
  <c r="G62" i="16"/>
  <c r="G3" i="16"/>
  <c r="G2" i="16"/>
  <c r="C6" i="16"/>
  <c r="G4" i="16" s="1"/>
  <c r="C5" i="16"/>
  <c r="C3" i="16"/>
  <c r="C63" i="16" s="1"/>
  <c r="V14" i="12"/>
  <c r="V13" i="12"/>
  <c r="AA13" i="12"/>
  <c r="AA14" i="12" s="1"/>
  <c r="N8" i="9"/>
  <c r="N9" i="9"/>
  <c r="N10" i="9"/>
  <c r="N11" i="9"/>
  <c r="N12" i="9"/>
  <c r="N13" i="9"/>
  <c r="N14" i="9"/>
  <c r="N15" i="9"/>
  <c r="N16" i="9"/>
  <c r="N17" i="9"/>
  <c r="N18" i="9"/>
  <c r="N19" i="9"/>
  <c r="N20" i="9"/>
  <c r="N21" i="9"/>
  <c r="N7" i="9"/>
  <c r="O8" i="9"/>
  <c r="O9" i="9"/>
  <c r="L9" i="15" s="1"/>
  <c r="O10" i="9"/>
  <c r="O11" i="9"/>
  <c r="O12" i="9"/>
  <c r="O13" i="9"/>
  <c r="O14" i="9"/>
  <c r="L14" i="15" s="1"/>
  <c r="O15" i="9"/>
  <c r="O16" i="9"/>
  <c r="O17" i="9"/>
  <c r="L17" i="15" s="1"/>
  <c r="O18" i="9"/>
  <c r="O19" i="9"/>
  <c r="O20" i="9"/>
  <c r="O21" i="9"/>
  <c r="O7" i="9"/>
  <c r="L11" i="15"/>
  <c r="L8" i="15"/>
  <c r="L10" i="15"/>
  <c r="L12" i="15"/>
  <c r="L13" i="15"/>
  <c r="L16" i="15"/>
  <c r="L18" i="15"/>
  <c r="L19" i="15"/>
  <c r="L20" i="15"/>
  <c r="L21" i="15"/>
  <c r="L7" i="15"/>
  <c r="K17" i="15"/>
  <c r="K18" i="15" s="1"/>
  <c r="K19" i="15" s="1"/>
  <c r="K20" i="15" s="1"/>
  <c r="K21" i="15" s="1"/>
  <c r="K15" i="15"/>
  <c r="K16" i="15" s="1"/>
  <c r="K11" i="15"/>
  <c r="K12" i="15" s="1"/>
  <c r="K9" i="15"/>
  <c r="K10" i="15" s="1"/>
  <c r="K8" i="15"/>
  <c r="K7" i="15"/>
  <c r="J19" i="15"/>
  <c r="J20" i="15" s="1"/>
  <c r="J21" i="15" s="1"/>
  <c r="J17" i="15"/>
  <c r="J18" i="15" s="1"/>
  <c r="J15" i="15"/>
  <c r="J16" i="15" s="1"/>
  <c r="K13" i="15"/>
  <c r="K14" i="15" s="1"/>
  <c r="J12" i="15"/>
  <c r="J11" i="15"/>
  <c r="J10" i="15"/>
  <c r="J9" i="15"/>
  <c r="J8" i="15"/>
  <c r="J7" i="15"/>
  <c r="J17" i="9"/>
  <c r="J20" i="9" s="1"/>
  <c r="J11" i="9"/>
  <c r="J12" i="9" s="1"/>
  <c r="J9" i="9"/>
  <c r="J10" i="9" s="1"/>
  <c r="P10" i="9" s="1"/>
  <c r="M10" i="15" s="1"/>
  <c r="J7" i="9"/>
  <c r="J8" i="9" s="1"/>
  <c r="P8" i="9" s="1"/>
  <c r="M8" i="15" s="1"/>
  <c r="N20" i="12"/>
  <c r="Q20" i="12" s="1"/>
  <c r="Q19" i="12"/>
  <c r="E16" i="12"/>
  <c r="D16" i="12"/>
  <c r="I15" i="12"/>
  <c r="I14" i="12"/>
  <c r="I13" i="12"/>
  <c r="I12" i="12"/>
  <c r="I16" i="12" s="1"/>
  <c r="M7" i="16" l="1"/>
  <c r="N7" i="16" s="1"/>
  <c r="C62" i="16"/>
  <c r="M10" i="16"/>
  <c r="N10" i="16" s="1"/>
  <c r="M5" i="16"/>
  <c r="N5" i="16" s="1"/>
  <c r="M4" i="16"/>
  <c r="N4" i="16" s="1"/>
  <c r="M12" i="16"/>
  <c r="N12" i="16" s="1"/>
  <c r="M13" i="16"/>
  <c r="N13" i="16" s="1"/>
  <c r="M9" i="16"/>
  <c r="N9" i="16" s="1"/>
  <c r="M11" i="16"/>
  <c r="N11" i="16" s="1"/>
  <c r="M8" i="16"/>
  <c r="N8" i="16" s="1"/>
  <c r="M6" i="16"/>
  <c r="N6" i="16" s="1"/>
  <c r="G5" i="16"/>
  <c r="G6" i="16" s="1"/>
  <c r="U20" i="16" s="1"/>
  <c r="G65" i="16"/>
  <c r="G66" i="16" s="1"/>
  <c r="N10" i="15"/>
  <c r="J13" i="15"/>
  <c r="J14" i="15" s="1"/>
  <c r="P12" i="9"/>
  <c r="M12" i="15" s="1"/>
  <c r="N12" i="15" s="1"/>
  <c r="P14" i="9"/>
  <c r="M14" i="15" s="1"/>
  <c r="P7" i="9"/>
  <c r="M7" i="15" s="1"/>
  <c r="N7" i="15" s="1"/>
  <c r="L15" i="15"/>
  <c r="J21" i="9"/>
  <c r="P21" i="9" s="1"/>
  <c r="M21" i="15" s="1"/>
  <c r="N21" i="15" s="1"/>
  <c r="P20" i="9"/>
  <c r="M20" i="15" s="1"/>
  <c r="N20" i="15" s="1"/>
  <c r="N8" i="15"/>
  <c r="P11" i="9"/>
  <c r="M11" i="15" s="1"/>
  <c r="N11" i="15" s="1"/>
  <c r="P11" i="15" s="1"/>
  <c r="Q11" i="15" s="1"/>
  <c r="P9" i="9"/>
  <c r="M9" i="15" s="1"/>
  <c r="N9" i="15" s="1"/>
  <c r="P17" i="9"/>
  <c r="M17" i="15" s="1"/>
  <c r="N17" i="15" s="1"/>
  <c r="N14" i="15"/>
  <c r="J13" i="9"/>
  <c r="P13" i="9" s="1"/>
  <c r="M13" i="15" s="1"/>
  <c r="N13" i="15" s="1"/>
  <c r="D23" i="12"/>
  <c r="D22" i="12"/>
  <c r="G22" i="12" s="1"/>
  <c r="J22" i="12" s="1"/>
  <c r="O13" i="15" l="1"/>
  <c r="P13" i="15"/>
  <c r="Q13" i="15" s="1"/>
  <c r="O14" i="15"/>
  <c r="P14" i="15"/>
  <c r="Q14" i="15" s="1"/>
  <c r="O12" i="15"/>
  <c r="P12" i="15"/>
  <c r="Q12" i="15" s="1"/>
  <c r="O20" i="15"/>
  <c r="P20" i="15"/>
  <c r="Q20" i="15" s="1"/>
  <c r="O21" i="15"/>
  <c r="P21" i="15"/>
  <c r="Q21" i="15" s="1"/>
  <c r="O17" i="15"/>
  <c r="P17" i="15"/>
  <c r="Q17" i="15" s="1"/>
  <c r="O7" i="15"/>
  <c r="P7" i="15"/>
  <c r="Q7" i="15" s="1"/>
  <c r="O9" i="15"/>
  <c r="P9" i="15"/>
  <c r="Q9" i="15" s="1"/>
  <c r="O8" i="15"/>
  <c r="P8" i="15"/>
  <c r="Q8" i="15" s="1"/>
  <c r="O10" i="15"/>
  <c r="P10" i="15"/>
  <c r="Q10" i="15" s="1"/>
  <c r="O11" i="15"/>
  <c r="N13" i="12"/>
  <c r="G23" i="12"/>
  <c r="G24" i="12" l="1"/>
  <c r="J23" i="12" s="1"/>
  <c r="J15" i="9"/>
  <c r="S19" i="12"/>
  <c r="T13" i="12" s="1"/>
  <c r="J16" i="9" l="1"/>
  <c r="P15" i="9"/>
  <c r="M15" i="15" s="1"/>
  <c r="N15" i="15" s="1"/>
  <c r="N14" i="12"/>
  <c r="J26" i="12"/>
  <c r="Y13" i="12"/>
  <c r="T31" i="12" l="1"/>
  <c r="S20" i="12"/>
  <c r="T14" i="12" s="1"/>
  <c r="Y14" i="12" s="1"/>
  <c r="AD14" i="12" s="1"/>
  <c r="N25" i="12" s="1"/>
  <c r="O15" i="15"/>
  <c r="P15" i="15"/>
  <c r="Q15" i="15" s="1"/>
  <c r="J18" i="9"/>
  <c r="P16" i="9"/>
  <c r="M16" i="15" s="1"/>
  <c r="N16" i="15" s="1"/>
  <c r="AD13" i="12"/>
  <c r="N24" i="12" s="1"/>
  <c r="T32" i="12" s="1"/>
  <c r="T33" i="12" s="1"/>
  <c r="O16" i="15" l="1"/>
  <c r="P16" i="15"/>
  <c r="Q16" i="15" s="1"/>
  <c r="P18" i="9"/>
  <c r="M18" i="15" s="1"/>
  <c r="N18" i="15" s="1"/>
  <c r="J19" i="9"/>
  <c r="P19" i="9" s="1"/>
  <c r="M19" i="15" s="1"/>
  <c r="N19" i="15" s="1"/>
  <c r="O19" i="15" l="1"/>
  <c r="P19" i="15"/>
  <c r="Q19" i="15" s="1"/>
  <c r="P18" i="15"/>
  <c r="Q18" i="15" s="1"/>
  <c r="O18" i="15"/>
</calcChain>
</file>

<file path=xl/sharedStrings.xml><?xml version="1.0" encoding="utf-8"?>
<sst xmlns="http://schemas.openxmlformats.org/spreadsheetml/2006/main" count="308" uniqueCount="180">
  <si>
    <t>Lodo</t>
  </si>
  <si>
    <t>Água</t>
  </si>
  <si>
    <t>Componente</t>
  </si>
  <si>
    <t>Densidade</t>
  </si>
  <si>
    <t>Lodo Los Angeles</t>
  </si>
  <si>
    <t>Lodo Imbirussu</t>
  </si>
  <si>
    <t>Biodigestor</t>
  </si>
  <si>
    <t>Fluido</t>
  </si>
  <si>
    <t>Biogás</t>
  </si>
  <si>
    <t>N/A</t>
  </si>
  <si>
    <t>ID Trecho</t>
  </si>
  <si>
    <t>Vazão (Q) [m³/h]</t>
  </si>
  <si>
    <t>D Teórico [mm]</t>
  </si>
  <si>
    <t>D Interno Real [mm]</t>
  </si>
  <si>
    <t>Vel. Real [m/s]</t>
  </si>
  <si>
    <t>Densidade (ρ) [kg/m3]</t>
  </si>
  <si>
    <t>Viscosidade (μ) [Pa⋅s]</t>
  </si>
  <si>
    <t>Vinhaça</t>
  </si>
  <si>
    <t>Origem → Destino</t>
  </si>
  <si>
    <t>T-01</t>
  </si>
  <si>
    <t>Mistura</t>
  </si>
  <si>
    <t>Água Rica</t>
  </si>
  <si>
    <t>Tag do Equipamento</t>
  </si>
  <si>
    <t>Tipo</t>
  </si>
  <si>
    <t>AMT (H) [mca]</t>
  </si>
  <si>
    <t>Potência Est. [kW]</t>
  </si>
  <si>
    <t>Material</t>
  </si>
  <si>
    <t>B-01</t>
  </si>
  <si>
    <t>Bomba Centrifuga</t>
  </si>
  <si>
    <t>Mistura Sól/Liq</t>
  </si>
  <si>
    <t>...</t>
  </si>
  <si>
    <t>Inox 316</t>
  </si>
  <si>
    <t>C-01</t>
  </si>
  <si>
    <t>Soprador/Compressor</t>
  </si>
  <si>
    <t>Aço Carbono</t>
  </si>
  <si>
    <t>Coluna de Absorção</t>
  </si>
  <si>
    <t>Gás/Água</t>
  </si>
  <si>
    <t>PRFV/Inox</t>
  </si>
  <si>
    <t>Vazão [m3/h]</t>
  </si>
  <si>
    <t>D Comercial</t>
  </si>
  <si>
    <t>S-01</t>
  </si>
  <si>
    <t>R-01</t>
  </si>
  <si>
    <t>S-02</t>
  </si>
  <si>
    <t>R-02</t>
  </si>
  <si>
    <t>S-03</t>
  </si>
  <si>
    <t>Res. Org.</t>
  </si>
  <si>
    <t>R-03</t>
  </si>
  <si>
    <t>S-04</t>
  </si>
  <si>
    <t>R-04</t>
  </si>
  <si>
    <t>Tanque Lodo→ Bomba 1</t>
  </si>
  <si>
    <t>Bomba 1→ Misturador</t>
  </si>
  <si>
    <t>Tanque Resíduo → Bomba 3</t>
  </si>
  <si>
    <t>Misturador→ Bomba 4</t>
  </si>
  <si>
    <t>Bomba 4→ Biodigestor</t>
  </si>
  <si>
    <t>Bomba 2→ Misturador</t>
  </si>
  <si>
    <t>Tanque Vinhaça →Bomba 2</t>
  </si>
  <si>
    <t>S-05</t>
  </si>
  <si>
    <t>R-05</t>
  </si>
  <si>
    <t>S-06</t>
  </si>
  <si>
    <t>R-06</t>
  </si>
  <si>
    <t>T-07</t>
  </si>
  <si>
    <t>T-08</t>
  </si>
  <si>
    <t>R-07</t>
  </si>
  <si>
    <t>Biodigestor → Compressor</t>
  </si>
  <si>
    <t>Compressor →Col. Absorção</t>
  </si>
  <si>
    <t>Reservatório Água→Bomba</t>
  </si>
  <si>
    <t>Col. Absorção→Tanque Flash</t>
  </si>
  <si>
    <t>Tanque Flash→Col. Dessorção</t>
  </si>
  <si>
    <t>Bomba Retorno→Reservatório</t>
  </si>
  <si>
    <t>Bomba→Col. Absorção</t>
  </si>
  <si>
    <t>Equipamentos</t>
  </si>
  <si>
    <t>Tanque-01</t>
  </si>
  <si>
    <t>Tanque-02</t>
  </si>
  <si>
    <t>Tanque-03</t>
  </si>
  <si>
    <t>Misturador</t>
  </si>
  <si>
    <t>Reservatório de Água</t>
  </si>
  <si>
    <t>Tanque Flash</t>
  </si>
  <si>
    <t>Bombas e Compressores</t>
  </si>
  <si>
    <t>Bomba-01</t>
  </si>
  <si>
    <t>Bomba-02</t>
  </si>
  <si>
    <t>Bomba-03</t>
  </si>
  <si>
    <t>Bomba-04</t>
  </si>
  <si>
    <t>Bomba-05</t>
  </si>
  <si>
    <t>Compressor-01</t>
  </si>
  <si>
    <t>Cota geométrica</t>
  </si>
  <si>
    <t>Cota Geométrica</t>
  </si>
  <si>
    <t>Comprimento (m)</t>
  </si>
  <si>
    <t>Bomba 3→ Misturador</t>
  </si>
  <si>
    <t>Dados do Biogás</t>
  </si>
  <si>
    <t>Unidade</t>
  </si>
  <si>
    <t>CH4</t>
  </si>
  <si>
    <t>Kg/Nm³</t>
  </si>
  <si>
    <t>CO2</t>
  </si>
  <si>
    <t>Proporção</t>
  </si>
  <si>
    <t>Vazão (m³/dia)</t>
  </si>
  <si>
    <t>ST (Kg/m³)</t>
  </si>
  <si>
    <t>% SV/ST</t>
  </si>
  <si>
    <t>SV (Kg/m³)</t>
  </si>
  <si>
    <t>Massa de SV (Kg)</t>
  </si>
  <si>
    <t>Scrubber</t>
  </si>
  <si>
    <t>Biogás + Reciclo</t>
  </si>
  <si>
    <t>Saída de topo</t>
  </si>
  <si>
    <t>Saída de Fundo</t>
  </si>
  <si>
    <t>Entrada CH4</t>
  </si>
  <si>
    <t>Kg/Dia</t>
  </si>
  <si>
    <t xml:space="preserve">Eficiência </t>
  </si>
  <si>
    <t>CH4 entrada</t>
  </si>
  <si>
    <t>Entrada Co2</t>
  </si>
  <si>
    <t>CO2 entrada</t>
  </si>
  <si>
    <t>Resíduo Orgânico</t>
  </si>
  <si>
    <t>Total</t>
  </si>
  <si>
    <t>Kg  SV/Dia</t>
  </si>
  <si>
    <t>Flash Tank</t>
  </si>
  <si>
    <t>Eficiência</t>
  </si>
  <si>
    <t>Reciclo do Metano</t>
  </si>
  <si>
    <t>---&gt;</t>
  </si>
  <si>
    <t>Informações</t>
  </si>
  <si>
    <t>Valores</t>
  </si>
  <si>
    <t>Volume do Reator</t>
  </si>
  <si>
    <t>m³</t>
  </si>
  <si>
    <t>Reciclo do CO2</t>
  </si>
  <si>
    <t>Eficiênciade de degradação</t>
  </si>
  <si>
    <t>Kg de CH4 por SV Removido</t>
  </si>
  <si>
    <t>Nm³</t>
  </si>
  <si>
    <t>SV Removido</t>
  </si>
  <si>
    <t>Volume de Metano</t>
  </si>
  <si>
    <t>Nm³/Dia</t>
  </si>
  <si>
    <t>Massa de Metano</t>
  </si>
  <si>
    <t>Digestato</t>
  </si>
  <si>
    <t>Volume total</t>
  </si>
  <si>
    <t>Massa de CO2</t>
  </si>
  <si>
    <t>Stripper</t>
  </si>
  <si>
    <t>Volume de Dióxido de Carbono</t>
  </si>
  <si>
    <t>Entrada</t>
  </si>
  <si>
    <t>Saída</t>
  </si>
  <si>
    <t>E-S</t>
  </si>
  <si>
    <t>Água Limpa</t>
  </si>
  <si>
    <t>Lodos de ETE / ETAR (2% a 5% Sólidos Totais)</t>
  </si>
  <si>
    <t>Resíduos Orgânicos de Aterro (Diluídos a 10% Sólidos)</t>
  </si>
  <si>
    <t>Biogás (60% Metano / 40% Dióxido de Carbono)</t>
  </si>
  <si>
    <t>Biometano (98% Metano)</t>
  </si>
  <si>
    <t xml:space="preserve">Dióxido de Carbono </t>
  </si>
  <si>
    <t>Vinhaça de 2ª Geração</t>
  </si>
  <si>
    <t>Re</t>
  </si>
  <si>
    <t>Densidade (Kg/m³)</t>
  </si>
  <si>
    <t>Viscosidade (Pa*s)</t>
  </si>
  <si>
    <t>Água Lavagem</t>
  </si>
  <si>
    <t>Tipo de Escoamento</t>
  </si>
  <si>
    <t>Fator de atrito</t>
  </si>
  <si>
    <t>5"  Sch 40</t>
  </si>
  <si>
    <t>Ɛ  (mm)</t>
  </si>
  <si>
    <t>Perda de Carga</t>
  </si>
  <si>
    <t>Perda de Carga Localizada</t>
  </si>
  <si>
    <t>x0</t>
  </si>
  <si>
    <t>H20</t>
  </si>
  <si>
    <t>Entrada H20</t>
  </si>
  <si>
    <t>%</t>
  </si>
  <si>
    <t>y1</t>
  </si>
  <si>
    <t>yn+1</t>
  </si>
  <si>
    <t>xn</t>
  </si>
  <si>
    <t>Vazão Inerte Líquido (L')</t>
  </si>
  <si>
    <t>Vazão Inerte Gás (V')</t>
  </si>
  <si>
    <t>Fração no Líquido (X0)</t>
  </si>
  <si>
    <t>Fração no gás de entrada(yn+1)</t>
  </si>
  <si>
    <t>Fração no gás de saída (y1)</t>
  </si>
  <si>
    <t>X0</t>
  </si>
  <si>
    <t>Xn</t>
  </si>
  <si>
    <t>x</t>
  </si>
  <si>
    <t>y</t>
  </si>
  <si>
    <t>X0-Razão L entrando</t>
  </si>
  <si>
    <t>yn+1 Razão G Entrando</t>
  </si>
  <si>
    <t>y1 Razão G Saindo</t>
  </si>
  <si>
    <t>Xn Razão L Saindo</t>
  </si>
  <si>
    <t>Fração no líquido de saída</t>
  </si>
  <si>
    <t>Fração Gás(y)</t>
  </si>
  <si>
    <t>Razão Gás (Y)</t>
  </si>
  <si>
    <t>Razão Líquido (X)</t>
  </si>
  <si>
    <t>Fração Líquido (x)</t>
  </si>
  <si>
    <t>Equilibrio</t>
  </si>
  <si>
    <t>kg/kmol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</si>
</sst>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8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0"/>
      <name val="Aptos Narrow"/>
      <family val="2"/>
      <scheme val="minor"/>
    </font>
    <font>
      <b/>
      <sz val="11"/>
      <color rgb="FF1F1F1F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4"/>
        <bgColor theme="4"/>
      </patternFill>
    </fill>
    <fill>
      <patternFill patternType="solid">
        <fgColor theme="7" tint="0.79998168889431442"/>
        <bgColor theme="7" tint="0.79998168889431442"/>
      </patternFill>
    </fill>
  </fills>
  <borders count="1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  <xf numFmtId="2" fontId="4" fillId="0" borderId="0" xfId="0" applyNumberFormat="1" applyFont="1"/>
    <xf numFmtId="2" fontId="0" fillId="0" borderId="0" xfId="0" applyNumberFormat="1"/>
    <xf numFmtId="2" fontId="4" fillId="0" borderId="2" xfId="0" applyNumberFormat="1" applyFont="1" applyBorder="1"/>
    <xf numFmtId="2" fontId="4" fillId="0" borderId="2" xfId="0" applyNumberFormat="1" applyFont="1" applyBorder="1" applyAlignment="1">
      <alignment horizontal="center"/>
    </xf>
    <xf numFmtId="2" fontId="4" fillId="2" borderId="3" xfId="0" applyNumberFormat="1" applyFont="1" applyFill="1" applyBorder="1" applyAlignment="1">
      <alignment horizontal="center"/>
    </xf>
    <xf numFmtId="2" fontId="4" fillId="2" borderId="4" xfId="0" applyNumberFormat="1" applyFont="1" applyFill="1" applyBorder="1"/>
    <xf numFmtId="2" fontId="4" fillId="2" borderId="2" xfId="0" applyNumberFormat="1" applyFont="1" applyFill="1" applyBorder="1"/>
    <xf numFmtId="2" fontId="4" fillId="3" borderId="3" xfId="0" applyNumberFormat="1" applyFont="1" applyFill="1" applyBorder="1"/>
    <xf numFmtId="2" fontId="4" fillId="3" borderId="4" xfId="0" applyNumberFormat="1" applyFont="1" applyFill="1" applyBorder="1"/>
    <xf numFmtId="2" fontId="4" fillId="3" borderId="2" xfId="0" applyNumberFormat="1" applyFont="1" applyFill="1" applyBorder="1"/>
    <xf numFmtId="2" fontId="4" fillId="0" borderId="2" xfId="0" quotePrefix="1" applyNumberFormat="1" applyFont="1" applyBorder="1"/>
    <xf numFmtId="0" fontId="4" fillId="0" borderId="0" xfId="0" applyFont="1"/>
    <xf numFmtId="0" fontId="1" fillId="0" borderId="0" xfId="0" applyFont="1" applyFill="1" applyBorder="1" applyAlignment="1">
      <alignment horizontal="center" vertical="center" wrapText="1" readingOrder="1"/>
    </xf>
    <xf numFmtId="0" fontId="5" fillId="4" borderId="5" xfId="0" applyFont="1" applyFill="1" applyBorder="1"/>
    <xf numFmtId="0" fontId="5" fillId="4" borderId="6" xfId="0" applyFont="1" applyFill="1" applyBorder="1"/>
    <xf numFmtId="0" fontId="5" fillId="4" borderId="7" xfId="0" applyFont="1" applyFill="1" applyBorder="1"/>
    <xf numFmtId="0" fontId="0" fillId="0" borderId="5" xfId="0" applyFont="1" applyBorder="1"/>
    <xf numFmtId="0" fontId="0" fillId="0" borderId="6" xfId="0" applyFont="1" applyBorder="1"/>
    <xf numFmtId="0" fontId="0" fillId="0" borderId="7" xfId="0" applyFont="1" applyBorder="1"/>
    <xf numFmtId="0" fontId="0" fillId="0" borderId="8" xfId="0" applyFont="1" applyBorder="1"/>
    <xf numFmtId="0" fontId="0" fillId="0" borderId="9" xfId="0" applyFont="1" applyBorder="1"/>
    <xf numFmtId="0" fontId="0" fillId="0" borderId="10" xfId="0" applyFont="1" applyBorder="1"/>
    <xf numFmtId="0" fontId="2" fillId="5" borderId="13" xfId="0" applyFont="1" applyFill="1" applyBorder="1" applyAlignment="1">
      <alignment horizontal="left" vertical="center" wrapText="1" indent="1" readingOrder="1"/>
    </xf>
    <xf numFmtId="0" fontId="2" fillId="5" borderId="12" xfId="0" applyFont="1" applyFill="1" applyBorder="1" applyAlignment="1">
      <alignment vertical="center" wrapText="1" readingOrder="1"/>
    </xf>
    <xf numFmtId="0" fontId="2" fillId="0" borderId="13" xfId="0" applyFont="1" applyBorder="1" applyAlignment="1">
      <alignment horizontal="left" vertical="center" wrapText="1" indent="1" readingOrder="1"/>
    </xf>
    <xf numFmtId="0" fontId="1" fillId="0" borderId="13" xfId="0" applyFont="1" applyBorder="1" applyAlignment="1">
      <alignment horizontal="left" vertical="center" wrapText="1" indent="1" readingOrder="1"/>
    </xf>
    <xf numFmtId="2" fontId="1" fillId="0" borderId="13" xfId="0" applyNumberFormat="1" applyFont="1" applyBorder="1" applyAlignment="1">
      <alignment horizontal="left" vertical="center" wrapText="1" indent="1" readingOrder="1"/>
    </xf>
    <xf numFmtId="0" fontId="1" fillId="0" borderId="13" xfId="0" applyFont="1" applyBorder="1" applyAlignment="1">
      <alignment horizontal="center" vertical="center" wrapText="1" readingOrder="1"/>
    </xf>
    <xf numFmtId="0" fontId="1" fillId="0" borderId="12" xfId="0" applyFont="1" applyBorder="1" applyAlignment="1">
      <alignment vertical="center" wrapText="1" readingOrder="1"/>
    </xf>
    <xf numFmtId="0" fontId="2" fillId="0" borderId="11" xfId="0" applyFont="1" applyBorder="1" applyAlignment="1">
      <alignment horizontal="left" vertical="center" wrapText="1" indent="1" readingOrder="1"/>
    </xf>
    <xf numFmtId="0" fontId="1" fillId="0" borderId="11" xfId="0" applyFont="1" applyBorder="1" applyAlignment="1">
      <alignment horizontal="left" vertical="center" wrapText="1" indent="1" readingOrder="1"/>
    </xf>
    <xf numFmtId="2" fontId="1" fillId="0" borderId="11" xfId="0" applyNumberFormat="1" applyFont="1" applyBorder="1" applyAlignment="1">
      <alignment horizontal="left" vertical="center" wrapText="1" indent="1" readingOrder="1"/>
    </xf>
    <xf numFmtId="0" fontId="1" fillId="0" borderId="11" xfId="0" applyFont="1" applyBorder="1" applyAlignment="1">
      <alignment horizontal="center" vertical="center" wrapText="1" readingOrder="1"/>
    </xf>
    <xf numFmtId="0" fontId="2" fillId="0" borderId="13" xfId="0" applyFont="1" applyBorder="1" applyAlignment="1">
      <alignment vertical="center" wrapText="1" readingOrder="1"/>
    </xf>
    <xf numFmtId="0" fontId="2" fillId="0" borderId="12" xfId="0" applyFont="1" applyBorder="1" applyAlignment="1">
      <alignment horizontal="left" vertical="center" wrapText="1" indent="1" readingOrder="1"/>
    </xf>
    <xf numFmtId="0" fontId="2" fillId="6" borderId="13" xfId="0" applyFont="1" applyFill="1" applyBorder="1" applyAlignment="1">
      <alignment horizontal="left" vertical="center" wrapText="1" indent="1" readingOrder="1"/>
    </xf>
    <xf numFmtId="0" fontId="1" fillId="6" borderId="13" xfId="0" applyFont="1" applyFill="1" applyBorder="1" applyAlignment="1">
      <alignment horizontal="left" vertical="center" wrapText="1" indent="1" readingOrder="1"/>
    </xf>
    <xf numFmtId="0" fontId="1" fillId="6" borderId="13" xfId="0" applyFont="1" applyFill="1" applyBorder="1" applyAlignment="1">
      <alignment vertical="center" wrapText="1" readingOrder="1"/>
    </xf>
    <xf numFmtId="0" fontId="2" fillId="6" borderId="11" xfId="0" applyFont="1" applyFill="1" applyBorder="1" applyAlignment="1">
      <alignment horizontal="left" vertical="center" wrapText="1" indent="1" readingOrder="1"/>
    </xf>
    <xf numFmtId="0" fontId="1" fillId="6" borderId="11" xfId="0" applyFont="1" applyFill="1" applyBorder="1" applyAlignment="1">
      <alignment horizontal="left" vertical="center" wrapText="1" indent="1" readingOrder="1"/>
    </xf>
    <xf numFmtId="0" fontId="1" fillId="6" borderId="11" xfId="0" applyFont="1" applyFill="1" applyBorder="1" applyAlignment="1">
      <alignment vertical="center" wrapText="1" readingOrder="1"/>
    </xf>
    <xf numFmtId="2" fontId="1" fillId="6" borderId="12" xfId="0" applyNumberFormat="1" applyFont="1" applyFill="1" applyBorder="1" applyAlignment="1">
      <alignment horizontal="left" vertical="center" wrapText="1" indent="1" readingOrder="1"/>
    </xf>
    <xf numFmtId="11" fontId="1" fillId="6" borderId="12" xfId="0" applyNumberFormat="1" applyFont="1" applyFill="1" applyBorder="1" applyAlignment="1">
      <alignment horizontal="left" vertical="center" wrapText="1" indent="1" readingOrder="1"/>
    </xf>
    <xf numFmtId="2" fontId="1" fillId="6" borderId="1" xfId="0" applyNumberFormat="1" applyFont="1" applyFill="1" applyBorder="1" applyAlignment="1">
      <alignment horizontal="left" vertical="center" wrapText="1" indent="1" readingOrder="1"/>
    </xf>
    <xf numFmtId="0" fontId="6" fillId="5" borderId="13" xfId="0" applyFont="1" applyFill="1" applyBorder="1" applyAlignment="1">
      <alignment horizontal="left" vertical="center" wrapText="1" indent="1" readingOrder="1"/>
    </xf>
    <xf numFmtId="0" fontId="1" fillId="0" borderId="13" xfId="0" applyNumberFormat="1" applyFont="1" applyBorder="1" applyAlignment="1">
      <alignment horizontal="left" vertical="center" wrapText="1" indent="1" readingOrder="1"/>
    </xf>
    <xf numFmtId="11" fontId="1" fillId="6" borderId="1" xfId="0" applyNumberFormat="1" applyFont="1" applyFill="1" applyBorder="1" applyAlignment="1">
      <alignment horizontal="left" vertical="center" wrapText="1" indent="1" readingOrder="1"/>
    </xf>
    <xf numFmtId="0" fontId="1" fillId="0" borderId="11" xfId="0" applyNumberFormat="1" applyFont="1" applyBorder="1" applyAlignment="1">
      <alignment horizontal="left" vertical="center" wrapText="1" indent="1" readingOrder="1"/>
    </xf>
    <xf numFmtId="2" fontId="4" fillId="0" borderId="2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11" fontId="0" fillId="0" borderId="0" xfId="0" applyNumberFormat="1"/>
    <xf numFmtId="10" fontId="4" fillId="0" borderId="0" xfId="0" applyNumberFormat="1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'Coluna de Absorção'!$N$3:$N$13</c:f>
              <c:numCache>
                <c:formatCode>General</c:formatCode>
                <c:ptCount val="11"/>
                <c:pt idx="0">
                  <c:v>-1.5209231932717352E-6</c:v>
                </c:pt>
                <c:pt idx="1">
                  <c:v>1.1695600785942592E-4</c:v>
                </c:pt>
                <c:pt idx="2">
                  <c:v>2.532616987185288E-4</c:v>
                </c:pt>
                <c:pt idx="3">
                  <c:v>4.1174797406636973E-4</c:v>
                </c:pt>
                <c:pt idx="4">
                  <c:v>5.9830841808314762E-4</c:v>
                </c:pt>
                <c:pt idx="5">
                  <c:v>8.2112748934134734E-4</c:v>
                </c:pt>
                <c:pt idx="6">
                  <c:v>1.0919134276984779E-3</c:v>
                </c:pt>
                <c:pt idx="7">
                  <c:v>1.4280234360619236E-3</c:v>
                </c:pt>
                <c:pt idx="8">
                  <c:v>1.8563378531676494E-3</c:v>
                </c:pt>
                <c:pt idx="9">
                  <c:v>2.4208295628888377E-3</c:v>
                </c:pt>
                <c:pt idx="10">
                  <c:v>3.1987178670941346E-3</c:v>
                </c:pt>
              </c:numCache>
            </c:numRef>
          </c:xVal>
          <c:yVal>
            <c:numRef>
              <c:f>'Coluna de Absorção'!$K$3:$K$13</c:f>
              <c:numCache>
                <c:formatCode>General</c:formatCode>
                <c:ptCount val="11"/>
                <c:pt idx="0">
                  <c:v>0.06</c:v>
                </c:pt>
                <c:pt idx="1">
                  <c:v>0.12157999999999999</c:v>
                </c:pt>
                <c:pt idx="2">
                  <c:v>0.18315999999999999</c:v>
                </c:pt>
                <c:pt idx="3">
                  <c:v>0.24473999999999999</c:v>
                </c:pt>
                <c:pt idx="4">
                  <c:v>0.30631999999999998</c:v>
                </c:pt>
                <c:pt idx="5">
                  <c:v>0.3679</c:v>
                </c:pt>
                <c:pt idx="6">
                  <c:v>0.42948000000000003</c:v>
                </c:pt>
                <c:pt idx="7">
                  <c:v>0.49106000000000005</c:v>
                </c:pt>
                <c:pt idx="8">
                  <c:v>0.55264000000000002</c:v>
                </c:pt>
                <c:pt idx="9">
                  <c:v>0.61421999999999999</c:v>
                </c:pt>
                <c:pt idx="10">
                  <c:v>0.67579999999999996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684-4749-A6F5-193ADA7242A6}"/>
            </c:ext>
          </c:extLst>
        </c:ser>
        <c:ser>
          <c:idx val="1"/>
          <c:order val="1"/>
          <c:tx>
            <c:v>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'Coluna de Absorção'!$N$3:$N$13</c:f>
              <c:numCache>
                <c:formatCode>General</c:formatCode>
                <c:ptCount val="11"/>
                <c:pt idx="0">
                  <c:v>-1.5209231932717352E-6</c:v>
                </c:pt>
                <c:pt idx="1">
                  <c:v>1.1695600785942592E-4</c:v>
                </c:pt>
                <c:pt idx="2">
                  <c:v>2.532616987185288E-4</c:v>
                </c:pt>
                <c:pt idx="3">
                  <c:v>4.1174797406636973E-4</c:v>
                </c:pt>
                <c:pt idx="4">
                  <c:v>5.9830841808314762E-4</c:v>
                </c:pt>
                <c:pt idx="5">
                  <c:v>8.2112748934134734E-4</c:v>
                </c:pt>
                <c:pt idx="6">
                  <c:v>1.0919134276984779E-3</c:v>
                </c:pt>
                <c:pt idx="7">
                  <c:v>1.4280234360619236E-3</c:v>
                </c:pt>
                <c:pt idx="8">
                  <c:v>1.8563378531676494E-3</c:v>
                </c:pt>
                <c:pt idx="9">
                  <c:v>2.4208295628888377E-3</c:v>
                </c:pt>
                <c:pt idx="10">
                  <c:v>3.1987178670941346E-3</c:v>
                </c:pt>
              </c:numCache>
            </c:numRef>
          </c:xVal>
          <c:yVal>
            <c:numRef>
              <c:f>'Coluna de Absorção'!$O$3:$O$13</c:f>
              <c:numCache>
                <c:formatCode>General</c:formatCode>
                <c:ptCount val="11"/>
                <c:pt idx="0">
                  <c:v>-3.1331017781397748E-4</c:v>
                </c:pt>
                <c:pt idx="1">
                  <c:v>2.409293761904174E-2</c:v>
                </c:pt>
                <c:pt idx="2">
                  <c:v>5.2171909936016933E-2</c:v>
                </c:pt>
                <c:pt idx="3">
                  <c:v>8.4820082657672158E-2</c:v>
                </c:pt>
                <c:pt idx="4">
                  <c:v>0.1232515341251284</c:v>
                </c:pt>
                <c:pt idx="5">
                  <c:v>0.16915226280431755</c:v>
                </c:pt>
                <c:pt idx="6">
                  <c:v>0.22493416610588646</c:v>
                </c:pt>
                <c:pt idx="7">
                  <c:v>0.29417282782875626</c:v>
                </c:pt>
                <c:pt idx="8">
                  <c:v>0.3824055977525358</c:v>
                </c:pt>
                <c:pt idx="9">
                  <c:v>0.49869088995510058</c:v>
                </c:pt>
                <c:pt idx="10">
                  <c:v>0.65893588062139175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2684-4749-A6F5-193ADA7242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0113120"/>
        <c:axId val="1830114080"/>
      </c:scatterChart>
      <c:valAx>
        <c:axId val="1830113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30114080"/>
        <c:crosses val="autoZero"/>
        <c:crossBetween val="midCat"/>
      </c:valAx>
      <c:valAx>
        <c:axId val="1830114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30113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chart" Target="../charts/chart1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4" Type="http://schemas.openxmlformats.org/officeDocument/2006/relationships/image" Target="../media/image1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342900</xdr:colOff>
      <xdr:row>6</xdr:row>
      <xdr:rowOff>85725</xdr:rowOff>
    </xdr:from>
    <xdr:to>
      <xdr:col>22</xdr:col>
      <xdr:colOff>390957</xdr:colOff>
      <xdr:row>31</xdr:row>
      <xdr:rowOff>19705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FA40540-EC6F-FC1F-DDE1-6B23B4F149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25375" y="1228725"/>
          <a:ext cx="3096057" cy="4696480"/>
        </a:xfrm>
        <a:prstGeom prst="rect">
          <a:avLst/>
        </a:prstGeom>
      </xdr:spPr>
    </xdr:pic>
    <xdr:clientData/>
  </xdr:twoCellAnchor>
  <xdr:twoCellAnchor editAs="oneCell">
    <xdr:from>
      <xdr:col>14</xdr:col>
      <xdr:colOff>133350</xdr:colOff>
      <xdr:row>36</xdr:row>
      <xdr:rowOff>104775</xdr:rowOff>
    </xdr:from>
    <xdr:to>
      <xdr:col>24</xdr:col>
      <xdr:colOff>96142</xdr:colOff>
      <xdr:row>44</xdr:row>
      <xdr:rowOff>181198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D08250A-4666-4073-B5A6-A0F7123D3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01275" y="6962775"/>
          <a:ext cx="6392167" cy="1600423"/>
        </a:xfrm>
        <a:prstGeom prst="rect">
          <a:avLst/>
        </a:prstGeom>
      </xdr:spPr>
    </xdr:pic>
    <xdr:clientData/>
  </xdr:twoCellAnchor>
  <xdr:twoCellAnchor editAs="oneCell">
    <xdr:from>
      <xdr:col>22</xdr:col>
      <xdr:colOff>274721</xdr:colOff>
      <xdr:row>0</xdr:row>
      <xdr:rowOff>0</xdr:rowOff>
    </xdr:from>
    <xdr:to>
      <xdr:col>27</xdr:col>
      <xdr:colOff>543576</xdr:colOff>
      <xdr:row>5</xdr:row>
      <xdr:rowOff>76402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7F40CED8-05E3-538F-2FA1-2FDC8E8485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781171" y="0"/>
          <a:ext cx="3316855" cy="1028902"/>
        </a:xfrm>
        <a:prstGeom prst="rect">
          <a:avLst/>
        </a:prstGeom>
      </xdr:spPr>
    </xdr:pic>
    <xdr:clientData/>
  </xdr:twoCellAnchor>
  <xdr:twoCellAnchor editAs="oneCell">
    <xdr:from>
      <xdr:col>12</xdr:col>
      <xdr:colOff>219075</xdr:colOff>
      <xdr:row>42</xdr:row>
      <xdr:rowOff>180975</xdr:rowOff>
    </xdr:from>
    <xdr:to>
      <xdr:col>20</xdr:col>
      <xdr:colOff>572419</xdr:colOff>
      <xdr:row>49</xdr:row>
      <xdr:rowOff>104950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BE9D5BFE-E9D2-4E70-F083-F4A47B39B9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877300" y="8181975"/>
          <a:ext cx="6582694" cy="1257475"/>
        </a:xfrm>
        <a:prstGeom prst="rect">
          <a:avLst/>
        </a:prstGeom>
      </xdr:spPr>
    </xdr:pic>
    <xdr:clientData/>
  </xdr:twoCellAnchor>
  <xdr:twoCellAnchor editAs="oneCell">
    <xdr:from>
      <xdr:col>10</xdr:col>
      <xdr:colOff>504824</xdr:colOff>
      <xdr:row>30</xdr:row>
      <xdr:rowOff>35332</xdr:rowOff>
    </xdr:from>
    <xdr:to>
      <xdr:col>18</xdr:col>
      <xdr:colOff>420188</xdr:colOff>
      <xdr:row>35</xdr:row>
      <xdr:rowOff>57308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6783C2EB-2158-3E81-CC63-1B01B14410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600824" y="5750332"/>
          <a:ext cx="6706689" cy="974476"/>
        </a:xfrm>
        <a:prstGeom prst="rect">
          <a:avLst/>
        </a:prstGeom>
      </xdr:spPr>
    </xdr:pic>
    <xdr:clientData/>
  </xdr:twoCellAnchor>
  <xdr:twoCellAnchor editAs="oneCell">
    <xdr:from>
      <xdr:col>15</xdr:col>
      <xdr:colOff>647700</xdr:colOff>
      <xdr:row>43</xdr:row>
      <xdr:rowOff>9525</xdr:rowOff>
    </xdr:from>
    <xdr:to>
      <xdr:col>24</xdr:col>
      <xdr:colOff>572268</xdr:colOff>
      <xdr:row>58</xdr:row>
      <xdr:rowOff>143292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873CF581-E7BA-54DD-CD9F-4B6D709C8B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515725" y="8201025"/>
          <a:ext cx="5506218" cy="2991267"/>
        </a:xfrm>
        <a:prstGeom prst="rect">
          <a:avLst/>
        </a:prstGeom>
      </xdr:spPr>
    </xdr:pic>
    <xdr:clientData/>
  </xdr:twoCellAnchor>
  <xdr:twoCellAnchor>
    <xdr:from>
      <xdr:col>1</xdr:col>
      <xdr:colOff>142875</xdr:colOff>
      <xdr:row>11</xdr:row>
      <xdr:rowOff>61912</xdr:rowOff>
    </xdr:from>
    <xdr:to>
      <xdr:col>5</xdr:col>
      <xdr:colOff>933450</xdr:colOff>
      <xdr:row>25</xdr:row>
      <xdr:rowOff>138112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A5BB5DB3-8030-CBDF-C215-17D4EA750A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480060</xdr:colOff>
      <xdr:row>4</xdr:row>
      <xdr:rowOff>91440</xdr:rowOff>
    </xdr:from>
    <xdr:to>
      <xdr:col>32</xdr:col>
      <xdr:colOff>480060</xdr:colOff>
      <xdr:row>39</xdr:row>
      <xdr:rowOff>68580</xdr:rowOff>
    </xdr:to>
    <xdr:pic>
      <xdr:nvPicPr>
        <xdr:cNvPr id="2" name="Imagem 1" descr="Tubo de Aço Carbono Sch 40 - NBR 5590 c/ Costura Apolo ...">
          <a:extLst>
            <a:ext uri="{FF2B5EF4-FFF2-40B4-BE49-F238E27FC236}">
              <a16:creationId xmlns:a16="http://schemas.microsoft.com/office/drawing/2014/main" id="{F6E0BDCA-4C79-9193-F899-EE99961A0F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74040" y="822960"/>
          <a:ext cx="9144000" cy="66446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447675</xdr:colOff>
      <xdr:row>6</xdr:row>
      <xdr:rowOff>57150</xdr:rowOff>
    </xdr:from>
    <xdr:to>
      <xdr:col>23</xdr:col>
      <xdr:colOff>114679</xdr:colOff>
      <xdr:row>10</xdr:row>
      <xdr:rowOff>323999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AC649286-3F27-2659-675C-D6025E2245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411700" y="1600200"/>
          <a:ext cx="2715004" cy="1066949"/>
        </a:xfrm>
        <a:prstGeom prst="rect">
          <a:avLst/>
        </a:prstGeom>
      </xdr:spPr>
    </xdr:pic>
    <xdr:clientData/>
  </xdr:twoCellAnchor>
  <xdr:twoCellAnchor editAs="oneCell">
    <xdr:from>
      <xdr:col>19</xdr:col>
      <xdr:colOff>495301</xdr:colOff>
      <xdr:row>11</xdr:row>
      <xdr:rowOff>142875</xdr:rowOff>
    </xdr:from>
    <xdr:to>
      <xdr:col>22</xdr:col>
      <xdr:colOff>447997</xdr:colOff>
      <xdr:row>12</xdr:row>
      <xdr:rowOff>95308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D2C781D-3C11-259B-2C90-F6DBF3905A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068926" y="2857500"/>
          <a:ext cx="1781496" cy="323908"/>
        </a:xfrm>
        <a:prstGeom prst="rect">
          <a:avLst/>
        </a:prstGeom>
      </xdr:spPr>
    </xdr:pic>
    <xdr:clientData/>
  </xdr:twoCellAnchor>
  <xdr:twoCellAnchor editAs="oneCell">
    <xdr:from>
      <xdr:col>19</xdr:col>
      <xdr:colOff>504825</xdr:colOff>
      <xdr:row>12</xdr:row>
      <xdr:rowOff>95250</xdr:rowOff>
    </xdr:from>
    <xdr:to>
      <xdr:col>23</xdr:col>
      <xdr:colOff>19323</xdr:colOff>
      <xdr:row>14</xdr:row>
      <xdr:rowOff>66727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FC25726D-DA38-27AC-B732-83DC2F9DFA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078450" y="3181350"/>
          <a:ext cx="1952898" cy="371527"/>
        </a:xfrm>
        <a:prstGeom prst="rect">
          <a:avLst/>
        </a:prstGeom>
      </xdr:spPr>
    </xdr:pic>
    <xdr:clientData/>
  </xdr:twoCellAnchor>
  <xdr:twoCellAnchor editAs="oneCell">
    <xdr:from>
      <xdr:col>17</xdr:col>
      <xdr:colOff>609600</xdr:colOff>
      <xdr:row>14</xdr:row>
      <xdr:rowOff>87189</xdr:rowOff>
    </xdr:from>
    <xdr:to>
      <xdr:col>25</xdr:col>
      <xdr:colOff>38826</xdr:colOff>
      <xdr:row>15</xdr:row>
      <xdr:rowOff>362023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76DF9D35-229F-B77D-0464-FA2D497D8E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640175" y="3573339"/>
          <a:ext cx="4629876" cy="47485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213360</xdr:colOff>
      <xdr:row>1</xdr:row>
      <xdr:rowOff>130730</xdr:rowOff>
    </xdr:from>
    <xdr:to>
      <xdr:col>4</xdr:col>
      <xdr:colOff>557004</xdr:colOff>
      <xdr:row>9</xdr:row>
      <xdr:rowOff>99443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A8F2EB7-357B-9BD1-C7D8-2435CF0E2D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3360" y="313610"/>
          <a:ext cx="2782044" cy="1431753"/>
        </a:xfrm>
        <a:prstGeom prst="rect">
          <a:avLst/>
        </a:prstGeom>
      </xdr:spPr>
    </xdr:pic>
    <xdr:clientData/>
  </xdr:twoCellAnchor>
  <xdr:twoCellAnchor editAs="oneCell">
    <xdr:from>
      <xdr:col>0</xdr:col>
      <xdr:colOff>365760</xdr:colOff>
      <xdr:row>9</xdr:row>
      <xdr:rowOff>129540</xdr:rowOff>
    </xdr:from>
    <xdr:to>
      <xdr:col>4</xdr:col>
      <xdr:colOff>583268</xdr:colOff>
      <xdr:row>18</xdr:row>
      <xdr:rowOff>175440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6A91459-D5BE-8E2A-1215-7BC38F872E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5760" y="1775460"/>
          <a:ext cx="2655908" cy="169182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18</xdr:row>
      <xdr:rowOff>114300</xdr:rowOff>
    </xdr:from>
    <xdr:to>
      <xdr:col>7</xdr:col>
      <xdr:colOff>600826</xdr:colOff>
      <xdr:row>25</xdr:row>
      <xdr:rowOff>91602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CC6647F6-C3C4-0016-E3CC-4EEDC44C90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9540" y="3406140"/>
          <a:ext cx="4738486" cy="12574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4B99A-A53B-4B7C-9E89-333CDA995DF3}">
  <dimension ref="A1:AE45"/>
  <sheetViews>
    <sheetView showGridLines="0" topLeftCell="D1" zoomScale="110" zoomScaleNormal="110" workbookViewId="0">
      <selection activeCell="N16" sqref="N16"/>
    </sheetView>
  </sheetViews>
  <sheetFormatPr defaultRowHeight="15" x14ac:dyDescent="0.25"/>
  <cols>
    <col min="2" max="2" width="15.85546875" bestFit="1" customWidth="1"/>
    <col min="3" max="3" width="15.28515625" bestFit="1" customWidth="1"/>
    <col min="4" max="4" width="16.5703125" bestFit="1" customWidth="1"/>
    <col min="5" max="5" width="13.85546875" bestFit="1" customWidth="1"/>
    <col min="6" max="6" width="25.85546875" bestFit="1" customWidth="1"/>
    <col min="7" max="7" width="10.5703125" bestFit="1" customWidth="1"/>
    <col min="8" max="8" width="16.7109375" bestFit="1" customWidth="1"/>
    <col min="9" max="9" width="16.28515625" bestFit="1" customWidth="1"/>
    <col min="10" max="10" width="14.5703125" bestFit="1" customWidth="1"/>
    <col min="11" max="11" width="10.5703125" bestFit="1" customWidth="1"/>
    <col min="13" max="13" width="12.140625" bestFit="1" customWidth="1"/>
    <col min="14" max="14" width="17.85546875" bestFit="1" customWidth="1"/>
    <col min="15" max="15" width="14.140625" bestFit="1" customWidth="1"/>
    <col min="16" max="16" width="10.5703125" bestFit="1" customWidth="1"/>
    <col min="18" max="18" width="17.28515625" bestFit="1" customWidth="1"/>
    <col min="19" max="19" width="11.85546875" bestFit="1" customWidth="1"/>
    <col min="20" max="20" width="15.42578125" bestFit="1" customWidth="1"/>
    <col min="21" max="21" width="15.85546875" bestFit="1" customWidth="1"/>
    <col min="22" max="22" width="10.5703125" bestFit="1" customWidth="1"/>
    <col min="24" max="25" width="12.7109375" bestFit="1" customWidth="1"/>
    <col min="28" max="28" width="14.28515625" bestFit="1" customWidth="1"/>
  </cols>
  <sheetData>
    <row r="1" spans="1:31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6"/>
      <c r="AD1" s="6"/>
    </row>
    <row r="2" spans="1:31" x14ac:dyDescent="0.25">
      <c r="A2" s="5"/>
      <c r="B2" s="5"/>
      <c r="C2" s="5"/>
      <c r="D2" s="5"/>
      <c r="E2" s="5"/>
      <c r="F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6"/>
      <c r="AD2" s="6"/>
    </row>
    <row r="3" spans="1:31" x14ac:dyDescent="0.25">
      <c r="A3" s="5"/>
      <c r="B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6"/>
      <c r="AD3" s="6"/>
    </row>
    <row r="4" spans="1:31" x14ac:dyDescent="0.25">
      <c r="B4" s="5"/>
      <c r="C4" s="7" t="s">
        <v>88</v>
      </c>
      <c r="D4" s="8"/>
      <c r="E4" s="8"/>
      <c r="F4" s="7" t="s">
        <v>89</v>
      </c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6"/>
      <c r="AD4" s="6"/>
    </row>
    <row r="5" spans="1:31" x14ac:dyDescent="0.25">
      <c r="B5" s="7" t="s">
        <v>90</v>
      </c>
      <c r="C5" s="7" t="s">
        <v>3</v>
      </c>
      <c r="D5" s="8">
        <v>0.71499999999999997</v>
      </c>
      <c r="E5" s="8"/>
      <c r="F5" s="7" t="s">
        <v>91</v>
      </c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6"/>
      <c r="AD5" s="6"/>
    </row>
    <row r="6" spans="1:31" x14ac:dyDescent="0.25">
      <c r="B6" s="7" t="s">
        <v>92</v>
      </c>
      <c r="C6" s="7" t="s">
        <v>3</v>
      </c>
      <c r="D6" s="8">
        <v>1.97</v>
      </c>
      <c r="E6" s="8"/>
      <c r="F6" s="7" t="s">
        <v>91</v>
      </c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6"/>
      <c r="AD6" s="6"/>
    </row>
    <row r="7" spans="1:31" x14ac:dyDescent="0.25">
      <c r="A7" s="5"/>
      <c r="B7" s="5"/>
      <c r="C7" s="5"/>
      <c r="D7" s="5"/>
      <c r="E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6"/>
      <c r="AD7" s="6"/>
    </row>
    <row r="8" spans="1:31" x14ac:dyDescent="0.25">
      <c r="A8" s="5"/>
      <c r="B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6"/>
      <c r="AC8" s="6"/>
    </row>
    <row r="9" spans="1:31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6"/>
      <c r="AC9" s="6"/>
    </row>
    <row r="10" spans="1:31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AC10" s="6"/>
    </row>
    <row r="11" spans="1:31" x14ac:dyDescent="0.25">
      <c r="B11" s="9" t="s">
        <v>2</v>
      </c>
      <c r="C11" s="10"/>
      <c r="D11" s="11" t="s">
        <v>93</v>
      </c>
      <c r="E11" s="11" t="s">
        <v>94</v>
      </c>
      <c r="F11" s="11" t="s">
        <v>95</v>
      </c>
      <c r="G11" s="11" t="s">
        <v>96</v>
      </c>
      <c r="H11" s="11" t="s">
        <v>97</v>
      </c>
      <c r="I11" s="11" t="s">
        <v>98</v>
      </c>
      <c r="J11" s="11"/>
      <c r="K11" s="5"/>
      <c r="L11" s="5"/>
      <c r="M11" s="5"/>
      <c r="O11" s="5"/>
      <c r="P11" s="5"/>
      <c r="Q11" s="5"/>
      <c r="R11" s="5"/>
      <c r="S11" s="5"/>
      <c r="AD11" s="6"/>
    </row>
    <row r="12" spans="1:31" x14ac:dyDescent="0.25">
      <c r="B12" s="12" t="s">
        <v>4</v>
      </c>
      <c r="C12" s="13"/>
      <c r="D12" s="14">
        <v>0.64</v>
      </c>
      <c r="E12" s="14">
        <v>320</v>
      </c>
      <c r="F12" s="14">
        <v>40</v>
      </c>
      <c r="G12" s="14">
        <v>0.7</v>
      </c>
      <c r="H12" s="14">
        <v>28</v>
      </c>
      <c r="I12" s="14">
        <f>E12*F12*G12</f>
        <v>8960</v>
      </c>
      <c r="J12" s="14"/>
      <c r="K12" s="5"/>
      <c r="L12" s="5"/>
      <c r="M12" s="7" t="s">
        <v>99</v>
      </c>
      <c r="N12" s="5"/>
      <c r="O12" s="5"/>
      <c r="P12" s="5"/>
      <c r="Q12" s="5"/>
      <c r="R12" s="5"/>
      <c r="S12" s="7" t="s">
        <v>100</v>
      </c>
      <c r="T12" s="5"/>
      <c r="U12" s="5"/>
      <c r="V12" s="5" t="s">
        <v>156</v>
      </c>
      <c r="X12" s="7" t="s">
        <v>101</v>
      </c>
      <c r="Y12" s="5"/>
      <c r="Z12" s="5"/>
      <c r="AA12" t="s">
        <v>156</v>
      </c>
      <c r="AC12" s="7" t="s">
        <v>102</v>
      </c>
      <c r="AE12" s="5"/>
    </row>
    <row r="13" spans="1:31" x14ac:dyDescent="0.25">
      <c r="B13" s="12" t="s">
        <v>5</v>
      </c>
      <c r="C13" s="13"/>
      <c r="D13" s="14">
        <v>0.16</v>
      </c>
      <c r="E13" s="14">
        <v>80</v>
      </c>
      <c r="F13" s="14">
        <v>35</v>
      </c>
      <c r="G13" s="14">
        <v>0.7</v>
      </c>
      <c r="H13" s="14">
        <v>24.5</v>
      </c>
      <c r="I13" s="14">
        <f t="shared" ref="I13:I15" si="0">E13*F13*G13</f>
        <v>1959.9999999999998</v>
      </c>
      <c r="J13" s="14"/>
      <c r="K13" s="5"/>
      <c r="L13" s="5"/>
      <c r="M13" s="7" t="s">
        <v>103</v>
      </c>
      <c r="N13" s="7">
        <f>J22</f>
        <v>3150.0844374999997</v>
      </c>
      <c r="O13" s="7" t="s">
        <v>104</v>
      </c>
      <c r="P13" s="7" t="s">
        <v>105</v>
      </c>
      <c r="Q13" s="7">
        <v>0.03</v>
      </c>
      <c r="R13" s="5"/>
      <c r="S13" s="7" t="s">
        <v>106</v>
      </c>
      <c r="T13" s="7">
        <f>N13+S19</f>
        <v>3232.5135325808105</v>
      </c>
      <c r="U13" s="7" t="s">
        <v>104</v>
      </c>
      <c r="V13" s="56">
        <f>T13/(T13+T14)</f>
        <v>0.32312460306931812</v>
      </c>
      <c r="X13" s="7" t="s">
        <v>90</v>
      </c>
      <c r="Y13" s="7">
        <f>T13*(1-Q13)</f>
        <v>3135.538126603386</v>
      </c>
      <c r="Z13" s="7" t="s">
        <v>104</v>
      </c>
      <c r="AA13" s="57">
        <f>Y13/(Y13+Y14)</f>
        <v>0.93915492082812846</v>
      </c>
      <c r="AC13" s="7" t="s">
        <v>90</v>
      </c>
      <c r="AD13" s="7">
        <f>T13-Y13</f>
        <v>96.975405977424543</v>
      </c>
      <c r="AE13" s="7" t="s">
        <v>104</v>
      </c>
    </row>
    <row r="14" spans="1:31" x14ac:dyDescent="0.25">
      <c r="B14" s="12" t="s">
        <v>17</v>
      </c>
      <c r="C14" s="13"/>
      <c r="D14" s="14">
        <v>0.1</v>
      </c>
      <c r="E14" s="14">
        <v>50</v>
      </c>
      <c r="F14" s="14">
        <v>25</v>
      </c>
      <c r="G14" s="14">
        <v>0.85</v>
      </c>
      <c r="H14" s="14">
        <v>21.3</v>
      </c>
      <c r="I14" s="14">
        <f t="shared" si="0"/>
        <v>1062.5</v>
      </c>
      <c r="J14" s="14"/>
      <c r="K14" s="5"/>
      <c r="L14" s="5"/>
      <c r="M14" s="7" t="s">
        <v>107</v>
      </c>
      <c r="N14" s="7">
        <f>J23</f>
        <v>5786.1690833333332</v>
      </c>
      <c r="O14" s="7" t="s">
        <v>104</v>
      </c>
      <c r="P14" s="7" t="s">
        <v>105</v>
      </c>
      <c r="Q14" s="7">
        <v>0.97</v>
      </c>
      <c r="R14" s="5"/>
      <c r="S14" s="7" t="s">
        <v>108</v>
      </c>
      <c r="T14" s="7">
        <f>N14+S20</f>
        <v>6771.4091086405306</v>
      </c>
      <c r="U14" s="7" t="s">
        <v>104</v>
      </c>
      <c r="V14" s="56">
        <f>1-V13</f>
        <v>0.67687539693068188</v>
      </c>
      <c r="X14" s="7" t="s">
        <v>92</v>
      </c>
      <c r="Y14" s="7">
        <f>T14*(1-Q14)</f>
        <v>203.1422732592161</v>
      </c>
      <c r="Z14" s="7" t="s">
        <v>104</v>
      </c>
      <c r="AA14" s="57">
        <f>1-AA13</f>
        <v>6.0845079171871541E-2</v>
      </c>
      <c r="AC14" s="7" t="s">
        <v>92</v>
      </c>
      <c r="AD14" s="7">
        <f>T14-Y14</f>
        <v>6568.2668353813142</v>
      </c>
      <c r="AE14" s="7" t="s">
        <v>104</v>
      </c>
    </row>
    <row r="15" spans="1:31" x14ac:dyDescent="0.25">
      <c r="A15" s="5"/>
      <c r="B15" s="12" t="s">
        <v>109</v>
      </c>
      <c r="C15" s="13"/>
      <c r="D15" s="14">
        <v>0.1</v>
      </c>
      <c r="E15" s="14">
        <v>50</v>
      </c>
      <c r="F15" s="14">
        <v>150</v>
      </c>
      <c r="G15" s="14">
        <v>0.8</v>
      </c>
      <c r="H15" s="14">
        <v>120</v>
      </c>
      <c r="I15" s="14">
        <f t="shared" si="0"/>
        <v>6000</v>
      </c>
      <c r="J15" s="14"/>
      <c r="K15" s="5"/>
      <c r="L15" s="5"/>
      <c r="M15" s="7" t="s">
        <v>155</v>
      </c>
      <c r="N15" s="7">
        <f>0.2*G23*998*4.1</f>
        <v>6009098.1358333323</v>
      </c>
      <c r="O15" s="7" t="s">
        <v>104</v>
      </c>
      <c r="P15" s="7" t="s">
        <v>105</v>
      </c>
      <c r="Q15" s="7"/>
      <c r="R15" s="5"/>
      <c r="S15" s="5"/>
      <c r="T15" s="5"/>
      <c r="U15" s="5"/>
      <c r="V15" s="5"/>
      <c r="W15" s="5"/>
      <c r="X15" s="5"/>
      <c r="Y15" s="5"/>
      <c r="Z15" s="5"/>
      <c r="AB15" s="5"/>
      <c r="AC15" s="6"/>
      <c r="AD15" s="6"/>
    </row>
    <row r="16" spans="1:31" x14ac:dyDescent="0.25">
      <c r="A16" s="5"/>
      <c r="B16" s="12" t="s">
        <v>110</v>
      </c>
      <c r="C16" s="13"/>
      <c r="D16" s="14">
        <f>SUM(D12:D15)</f>
        <v>1</v>
      </c>
      <c r="E16" s="14">
        <f>SUM(E12:E15)</f>
        <v>500</v>
      </c>
      <c r="F16" s="14"/>
      <c r="G16" s="14"/>
      <c r="H16" s="14"/>
      <c r="I16" s="14">
        <f>SUM(I12:I15)</f>
        <v>17982.5</v>
      </c>
      <c r="J16" s="14" t="s">
        <v>111</v>
      </c>
      <c r="K16" s="5"/>
      <c r="L16" s="5"/>
      <c r="M16" s="5"/>
      <c r="N16" s="5"/>
      <c r="O16" s="5"/>
      <c r="P16" s="5"/>
      <c r="Q16" s="5"/>
      <c r="R16" s="5"/>
      <c r="S16" s="5"/>
      <c r="Y16" s="5"/>
      <c r="Z16" s="5"/>
      <c r="AA16" s="5"/>
      <c r="AB16" s="6"/>
      <c r="AC16" s="6"/>
    </row>
    <row r="17" spans="1:29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Y17" s="5"/>
      <c r="Z17" s="5"/>
      <c r="AA17" s="5"/>
      <c r="AB17" s="6"/>
      <c r="AC17" s="6"/>
    </row>
    <row r="18" spans="1:29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7" t="s">
        <v>112</v>
      </c>
      <c r="N18" s="5"/>
      <c r="O18" s="5"/>
      <c r="P18" s="5"/>
      <c r="Q18" s="5"/>
      <c r="R18" s="5"/>
      <c r="V18" s="5"/>
      <c r="W18" s="5"/>
      <c r="X18" s="5"/>
      <c r="Y18" s="5"/>
      <c r="Z18" s="5"/>
      <c r="AA18" s="5"/>
      <c r="AB18" s="6"/>
      <c r="AC18" s="6"/>
    </row>
    <row r="19" spans="1:29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7" t="s">
        <v>113</v>
      </c>
      <c r="N19" s="7">
        <v>0.85</v>
      </c>
      <c r="O19" s="7"/>
      <c r="P19" s="7" t="s">
        <v>114</v>
      </c>
      <c r="Q19" s="7">
        <f>Q13*N19</f>
        <v>2.5499999999999998E-2</v>
      </c>
      <c r="R19" s="15" t="s">
        <v>115</v>
      </c>
      <c r="S19" s="7">
        <f>N13*(Q19/(1-Q19))</f>
        <v>82.429095080810654</v>
      </c>
      <c r="T19" s="7" t="s">
        <v>104</v>
      </c>
      <c r="V19" s="5"/>
      <c r="W19" s="5"/>
      <c r="X19" s="5"/>
      <c r="Y19" s="5"/>
      <c r="Z19" s="5"/>
      <c r="AA19" s="5"/>
      <c r="AB19" s="6"/>
      <c r="AC19" s="6"/>
    </row>
    <row r="20" spans="1:29" x14ac:dyDescent="0.25">
      <c r="A20" s="5"/>
      <c r="B20" s="53" t="s">
        <v>116</v>
      </c>
      <c r="C20" s="54"/>
      <c r="D20" s="7" t="s">
        <v>117</v>
      </c>
      <c r="F20" s="7" t="s">
        <v>118</v>
      </c>
      <c r="G20" s="7">
        <v>1500</v>
      </c>
      <c r="H20" s="7" t="s">
        <v>119</v>
      </c>
      <c r="L20" s="5"/>
      <c r="M20" s="7" t="s">
        <v>113</v>
      </c>
      <c r="N20" s="7">
        <f>0.15</f>
        <v>0.15</v>
      </c>
      <c r="O20" s="7"/>
      <c r="P20" s="7" t="s">
        <v>120</v>
      </c>
      <c r="Q20" s="7">
        <f>Q14*N20</f>
        <v>0.14549999999999999</v>
      </c>
      <c r="R20" s="15" t="s">
        <v>115</v>
      </c>
      <c r="S20" s="7">
        <f>N14*(Q20/(1-Q20))</f>
        <v>985.24002530719702</v>
      </c>
      <c r="T20" s="7" t="s">
        <v>104</v>
      </c>
      <c r="U20" s="5"/>
      <c r="V20" s="5"/>
      <c r="W20" s="5"/>
      <c r="X20" s="5"/>
      <c r="Y20" s="5"/>
      <c r="Z20" s="5"/>
      <c r="AA20" s="5"/>
      <c r="AB20" s="6"/>
      <c r="AC20" s="6"/>
    </row>
    <row r="21" spans="1:29" x14ac:dyDescent="0.25">
      <c r="A21" s="5"/>
      <c r="B21" s="53" t="s">
        <v>121</v>
      </c>
      <c r="C21" s="53"/>
      <c r="D21" s="7">
        <v>0.7</v>
      </c>
      <c r="F21" s="7" t="s">
        <v>122</v>
      </c>
      <c r="G21" s="7">
        <v>0.35</v>
      </c>
      <c r="H21" s="7" t="s">
        <v>123</v>
      </c>
      <c r="I21" s="7"/>
      <c r="J21" s="7"/>
      <c r="K21" s="7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6"/>
      <c r="AC21" s="6"/>
    </row>
    <row r="22" spans="1:29" x14ac:dyDescent="0.25">
      <c r="A22" s="5"/>
      <c r="B22" s="53" t="s">
        <v>124</v>
      </c>
      <c r="C22" s="53"/>
      <c r="D22" s="7">
        <f>I16*D21</f>
        <v>12587.75</v>
      </c>
      <c r="F22" s="7" t="s">
        <v>125</v>
      </c>
      <c r="G22" s="7">
        <f>D22*G21</f>
        <v>4405.7124999999996</v>
      </c>
      <c r="H22" s="7" t="s">
        <v>126</v>
      </c>
      <c r="I22" s="7" t="s">
        <v>127</v>
      </c>
      <c r="J22" s="7">
        <f>G22*D5</f>
        <v>3150.0844374999997</v>
      </c>
      <c r="K22" s="7" t="s">
        <v>104</v>
      </c>
      <c r="L22" s="5"/>
      <c r="M22" s="5"/>
      <c r="W22" s="5"/>
      <c r="X22" s="5"/>
      <c r="Y22" s="5"/>
      <c r="Z22" s="5"/>
      <c r="AA22" s="5"/>
      <c r="AB22" s="6"/>
      <c r="AC22" s="6"/>
    </row>
    <row r="23" spans="1:29" x14ac:dyDescent="0.25">
      <c r="A23" s="5"/>
      <c r="B23" s="53" t="s">
        <v>128</v>
      </c>
      <c r="C23" s="53"/>
      <c r="D23" s="7">
        <f>I16*(1-D21)</f>
        <v>5394.7500000000009</v>
      </c>
      <c r="F23" s="7" t="s">
        <v>129</v>
      </c>
      <c r="G23" s="7">
        <f>G22/0.6</f>
        <v>7342.8541666666661</v>
      </c>
      <c r="H23" s="7" t="s">
        <v>126</v>
      </c>
      <c r="I23" s="7" t="s">
        <v>130</v>
      </c>
      <c r="J23" s="7">
        <f>G24*D6</f>
        <v>5786.1690833333332</v>
      </c>
      <c r="K23" s="7" t="s">
        <v>104</v>
      </c>
      <c r="L23" s="5"/>
      <c r="M23" s="5" t="s">
        <v>131</v>
      </c>
      <c r="N23" s="5"/>
      <c r="O23" s="5"/>
      <c r="P23" s="5"/>
      <c r="W23" s="5"/>
      <c r="X23" s="5"/>
      <c r="Y23" s="5"/>
      <c r="Z23" s="5"/>
      <c r="AA23" s="5"/>
      <c r="AB23" s="6"/>
      <c r="AC23" s="6"/>
    </row>
    <row r="24" spans="1:29" x14ac:dyDescent="0.25">
      <c r="A24" s="5"/>
      <c r="F24" s="7" t="s">
        <v>132</v>
      </c>
      <c r="G24" s="7">
        <f>G23*0.4</f>
        <v>2937.1416666666664</v>
      </c>
      <c r="H24" s="7" t="s">
        <v>126</v>
      </c>
      <c r="I24" s="7"/>
      <c r="J24" s="7"/>
      <c r="K24" s="7"/>
      <c r="L24" s="5"/>
      <c r="M24" s="5" t="s">
        <v>90</v>
      </c>
      <c r="N24" s="5">
        <f>AD13-S19</f>
        <v>14.546310896613889</v>
      </c>
      <c r="O24" s="5" t="s">
        <v>104</v>
      </c>
      <c r="P24" s="5"/>
      <c r="W24" s="5"/>
      <c r="X24" s="5"/>
      <c r="Y24" s="5"/>
      <c r="Z24" s="5"/>
      <c r="AA24" s="5"/>
      <c r="AB24" s="6"/>
      <c r="AC24" s="6"/>
    </row>
    <row r="25" spans="1:29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 t="s">
        <v>92</v>
      </c>
      <c r="N25" s="5">
        <f>AD14-S20</f>
        <v>5583.0268100741168</v>
      </c>
      <c r="O25" s="5" t="s">
        <v>104</v>
      </c>
      <c r="P25" s="5"/>
      <c r="W25" s="5"/>
      <c r="X25" s="5"/>
      <c r="Y25" s="5"/>
      <c r="Z25" s="5"/>
      <c r="AA25" s="5"/>
      <c r="AB25" s="6"/>
      <c r="AC25" s="6"/>
    </row>
    <row r="26" spans="1:29" x14ac:dyDescent="0.25">
      <c r="A26" s="5"/>
      <c r="B26" s="5"/>
      <c r="C26" s="5"/>
      <c r="D26" s="5"/>
      <c r="J26" s="6">
        <f>J22+J23</f>
        <v>8936.253520833332</v>
      </c>
      <c r="K26" s="5"/>
      <c r="L26" s="5"/>
      <c r="M26" s="5"/>
      <c r="W26" s="5"/>
      <c r="X26" s="5"/>
      <c r="Y26" s="5"/>
      <c r="Z26" s="5"/>
      <c r="AA26" s="5"/>
      <c r="AB26" s="6"/>
      <c r="AC26" s="6"/>
    </row>
    <row r="27" spans="1:29" x14ac:dyDescent="0.25">
      <c r="A27" s="5"/>
      <c r="B27" s="5"/>
      <c r="C27" s="5"/>
      <c r="D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6"/>
      <c r="AC27" s="6"/>
    </row>
    <row r="28" spans="1:29" x14ac:dyDescent="0.25">
      <c r="A28" s="5"/>
      <c r="B28" s="5"/>
      <c r="C28" s="5"/>
      <c r="D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6"/>
      <c r="AC28" s="6"/>
    </row>
    <row r="29" spans="1:29" x14ac:dyDescent="0.25">
      <c r="A29" s="5"/>
      <c r="K29" s="5"/>
      <c r="L29" s="5"/>
      <c r="M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6"/>
      <c r="AC29" s="6"/>
    </row>
    <row r="30" spans="1:29" x14ac:dyDescent="0.25">
      <c r="A30" s="5"/>
      <c r="K30" s="5"/>
      <c r="L30" s="5"/>
      <c r="M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6"/>
      <c r="AC30" s="6"/>
    </row>
    <row r="31" spans="1:29" x14ac:dyDescent="0.25">
      <c r="A31" s="5"/>
      <c r="K31" s="5"/>
      <c r="L31" s="5"/>
      <c r="M31" s="5"/>
      <c r="R31" s="5"/>
      <c r="S31" s="5" t="s">
        <v>133</v>
      </c>
      <c r="T31" s="5">
        <f>N13+N14</f>
        <v>8936.253520833332</v>
      </c>
      <c r="U31" s="5"/>
      <c r="V31" s="5"/>
      <c r="W31" s="5"/>
      <c r="X31" s="5"/>
      <c r="Y31" s="5"/>
      <c r="Z31" s="5"/>
      <c r="AA31" s="5"/>
      <c r="AB31" s="6"/>
      <c r="AC31" s="6"/>
    </row>
    <row r="32" spans="1:29" x14ac:dyDescent="0.25">
      <c r="A32" s="5"/>
      <c r="K32" s="5"/>
      <c r="L32" s="5"/>
      <c r="M32" s="5"/>
      <c r="N32" s="5"/>
      <c r="O32" s="5"/>
      <c r="P32" s="5"/>
      <c r="Q32" s="5"/>
      <c r="R32" s="5"/>
      <c r="S32" s="5" t="s">
        <v>134</v>
      </c>
      <c r="T32" s="5">
        <f>Y13+N24+N25+Y14</f>
        <v>8936.2535208333338</v>
      </c>
      <c r="U32" s="5"/>
      <c r="V32" s="5"/>
      <c r="W32" s="5"/>
      <c r="X32" s="5"/>
      <c r="Y32" s="5"/>
      <c r="Z32" s="5"/>
      <c r="AA32" s="5"/>
      <c r="AB32" s="6"/>
      <c r="AC32" s="6"/>
    </row>
    <row r="33" spans="1:30" x14ac:dyDescent="0.25">
      <c r="A33" s="5"/>
      <c r="K33" s="5"/>
      <c r="L33" s="5"/>
      <c r="M33" s="5"/>
      <c r="N33" s="5"/>
      <c r="O33" s="5"/>
      <c r="P33" s="5"/>
      <c r="Q33" s="5"/>
      <c r="R33" s="5"/>
      <c r="S33" s="5" t="s">
        <v>135</v>
      </c>
      <c r="T33" s="5">
        <f>T31-T32</f>
        <v>0</v>
      </c>
      <c r="U33" s="5"/>
      <c r="V33" s="5"/>
      <c r="W33" s="5"/>
      <c r="X33" s="5"/>
      <c r="Y33" s="5"/>
      <c r="Z33" s="5"/>
      <c r="AA33" s="5"/>
      <c r="AB33" s="6"/>
      <c r="AC33" s="6"/>
    </row>
    <row r="34" spans="1:30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6"/>
      <c r="AC34" s="6"/>
    </row>
    <row r="35" spans="1:30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6"/>
      <c r="AC35" s="6"/>
    </row>
    <row r="36" spans="1:30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6"/>
      <c r="AC36" s="6"/>
    </row>
    <row r="37" spans="1:30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6"/>
      <c r="AD37" s="6"/>
    </row>
    <row r="38" spans="1:30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6"/>
      <c r="AD38" s="6"/>
    </row>
    <row r="39" spans="1:30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6"/>
      <c r="AD39" s="6"/>
    </row>
    <row r="40" spans="1:30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6"/>
      <c r="AD40" s="6"/>
    </row>
    <row r="41" spans="1:30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6"/>
      <c r="AD41" s="6"/>
    </row>
    <row r="42" spans="1:30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6"/>
      <c r="AD42" s="6"/>
    </row>
    <row r="43" spans="1:30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6"/>
      <c r="AD43" s="6"/>
    </row>
    <row r="44" spans="1:30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6"/>
      <c r="AD44" s="6"/>
    </row>
    <row r="45" spans="1:30" x14ac:dyDescent="0.2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</row>
  </sheetData>
  <mergeCells count="4">
    <mergeCell ref="B20:C20"/>
    <mergeCell ref="B21:C21"/>
    <mergeCell ref="B22:C22"/>
    <mergeCell ref="B23:C23"/>
  </mergeCells>
  <phoneticPr fontId="3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F2708-00A6-45F7-9DAE-433D9E329A8C}">
  <dimension ref="B3:J11"/>
  <sheetViews>
    <sheetView showGridLines="0" workbookViewId="0">
      <selection activeCell="C4" sqref="C4"/>
    </sheetView>
  </sheetViews>
  <sheetFormatPr defaultRowHeight="15" x14ac:dyDescent="0.25"/>
  <cols>
    <col min="2" max="2" width="12.140625" bestFit="1" customWidth="1"/>
    <col min="7" max="7" width="48.7109375" customWidth="1"/>
    <col min="8" max="8" width="23.7109375" bestFit="1" customWidth="1"/>
    <col min="9" max="9" width="22.42578125" customWidth="1"/>
    <col min="10" max="10" width="101.140625" bestFit="1" customWidth="1"/>
  </cols>
  <sheetData>
    <row r="3" spans="2:10" x14ac:dyDescent="0.25">
      <c r="B3" t="s">
        <v>2</v>
      </c>
      <c r="C3" t="s">
        <v>179</v>
      </c>
      <c r="H3" s="18" t="s">
        <v>7</v>
      </c>
      <c r="I3" s="19" t="s">
        <v>15</v>
      </c>
      <c r="J3" s="20" t="s">
        <v>16</v>
      </c>
    </row>
    <row r="4" spans="2:10" x14ac:dyDescent="0.25">
      <c r="B4" t="s">
        <v>90</v>
      </c>
      <c r="C4">
        <v>16.04</v>
      </c>
      <c r="H4" s="21" t="s">
        <v>136</v>
      </c>
      <c r="I4" s="22">
        <v>998</v>
      </c>
      <c r="J4" s="23">
        <v>1E-3</v>
      </c>
    </row>
    <row r="5" spans="2:10" x14ac:dyDescent="0.25">
      <c r="B5" t="s">
        <v>92</v>
      </c>
      <c r="C5">
        <v>44.01</v>
      </c>
      <c r="H5" s="21" t="s">
        <v>146</v>
      </c>
      <c r="I5" s="22">
        <v>1010</v>
      </c>
      <c r="J5" s="23">
        <v>1E-3</v>
      </c>
    </row>
    <row r="6" spans="2:10" x14ac:dyDescent="0.25">
      <c r="B6" t="s">
        <v>154</v>
      </c>
      <c r="C6">
        <v>18.02</v>
      </c>
      <c r="H6" s="21" t="s">
        <v>139</v>
      </c>
      <c r="I6" s="22">
        <v>1.1499999999999999</v>
      </c>
      <c r="J6" s="23">
        <v>1.2999999999999999E-5</v>
      </c>
    </row>
    <row r="7" spans="2:10" x14ac:dyDescent="0.25">
      <c r="H7" s="21" t="s">
        <v>140</v>
      </c>
      <c r="I7" s="22">
        <v>0.68</v>
      </c>
      <c r="J7" s="23">
        <v>1.1E-5</v>
      </c>
    </row>
    <row r="8" spans="2:10" x14ac:dyDescent="0.25">
      <c r="H8" s="21" t="s">
        <v>141</v>
      </c>
      <c r="I8" s="22">
        <v>1.84</v>
      </c>
      <c r="J8" s="23">
        <v>1.5E-5</v>
      </c>
    </row>
    <row r="9" spans="2:10" x14ac:dyDescent="0.25">
      <c r="H9" s="21" t="s">
        <v>137</v>
      </c>
      <c r="I9" s="22">
        <v>1020</v>
      </c>
      <c r="J9" s="23">
        <v>0.05</v>
      </c>
    </row>
    <row r="10" spans="2:10" x14ac:dyDescent="0.25">
      <c r="H10" s="21" t="s">
        <v>142</v>
      </c>
      <c r="I10" s="22">
        <v>1050</v>
      </c>
      <c r="J10" s="23">
        <v>0.02</v>
      </c>
    </row>
    <row r="11" spans="2:10" x14ac:dyDescent="0.25">
      <c r="H11" s="24" t="s">
        <v>138</v>
      </c>
      <c r="I11" s="25">
        <v>1080</v>
      </c>
      <c r="J11" s="26">
        <v>0.8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01207-37A5-4BCB-8ECA-1EF8C9F00162}">
  <dimension ref="B2:U66"/>
  <sheetViews>
    <sheetView showGridLines="0" tabSelected="1" topLeftCell="A10" zoomScaleNormal="100" workbookViewId="0">
      <selection activeCell="B30" sqref="B30"/>
    </sheetView>
  </sheetViews>
  <sheetFormatPr defaultRowHeight="15" x14ac:dyDescent="0.25"/>
  <cols>
    <col min="2" max="2" width="29.28515625" bestFit="1" customWidth="1"/>
    <col min="6" max="6" width="25" bestFit="1" customWidth="1"/>
    <col min="11" max="11" width="13.42578125" bestFit="1" customWidth="1"/>
    <col min="12" max="12" width="13.28515625" bestFit="1" customWidth="1"/>
    <col min="13" max="13" width="16.5703125" bestFit="1" customWidth="1"/>
    <col min="14" max="14" width="17" bestFit="1" customWidth="1"/>
    <col min="15" max="15" width="12.7109375" bestFit="1" customWidth="1"/>
    <col min="16" max="16" width="10.5703125" bestFit="1" customWidth="1"/>
  </cols>
  <sheetData>
    <row r="2" spans="2:15" x14ac:dyDescent="0.25">
      <c r="B2" t="s">
        <v>160</v>
      </c>
      <c r="C2">
        <f>BM!N15/'Propriedades dos Fluidos'!C6*24</f>
        <v>8003238.360710321</v>
      </c>
      <c r="F2" t="s">
        <v>169</v>
      </c>
      <c r="G2">
        <f>$C$4/(1-$C$4)</f>
        <v>0</v>
      </c>
      <c r="K2" t="s">
        <v>174</v>
      </c>
      <c r="L2" t="s">
        <v>175</v>
      </c>
      <c r="M2" t="s">
        <v>176</v>
      </c>
      <c r="N2" t="s">
        <v>177</v>
      </c>
      <c r="O2" t="s">
        <v>178</v>
      </c>
    </row>
    <row r="3" spans="2:15" x14ac:dyDescent="0.25">
      <c r="B3" t="s">
        <v>161</v>
      </c>
      <c r="C3">
        <f>(BM!J22)/24*'Propriedades dos Fluidos'!C4+(BM!J23)/24*'Propriedades dos Fluidos'!C5</f>
        <v>12715.693988958334</v>
      </c>
      <c r="F3" t="s">
        <v>170</v>
      </c>
      <c r="G3">
        <f>C5/(1-C5)</f>
        <v>2.0947813645297555</v>
      </c>
      <c r="K3">
        <f>0.06</f>
        <v>0.06</v>
      </c>
      <c r="L3">
        <f>K3/(1-K3)</f>
        <v>6.3829787234042548E-2</v>
      </c>
      <c r="M3">
        <f>$G$2 + ($C$3/$C$2) * (L3 - $G$4)</f>
        <v>-1.5209208800678938E-6</v>
      </c>
      <c r="N3">
        <f>M3/(1+M3)</f>
        <v>-1.5209231932717352E-6</v>
      </c>
      <c r="O3">
        <f>206*N3</f>
        <v>-3.1331017781397748E-4</v>
      </c>
    </row>
    <row r="4" spans="2:15" x14ac:dyDescent="0.25">
      <c r="B4" t="s">
        <v>162</v>
      </c>
      <c r="C4">
        <v>0</v>
      </c>
      <c r="F4" t="s">
        <v>171</v>
      </c>
      <c r="G4">
        <f>C6/(1-C6)</f>
        <v>6.4787052511229501E-2</v>
      </c>
      <c r="K4">
        <f>K3+0.06158</f>
        <v>0.12157999999999999</v>
      </c>
      <c r="L4">
        <f t="shared" ref="L4:L13" si="0">K4/(1-K4)</f>
        <v>0.13840759545547687</v>
      </c>
      <c r="M4">
        <f t="shared" ref="M4:M13" si="1">$G$2 + ($C$3/$C$2) * (L4 - $G$4)</f>
        <v>1.1696968816719451E-4</v>
      </c>
      <c r="N4">
        <f t="shared" ref="N4:N13" si="2">M4/(1+M4)</f>
        <v>1.1695600785942592E-4</v>
      </c>
      <c r="O4">
        <f t="shared" ref="O4:O13" si="3">206*N4</f>
        <v>2.409293761904174E-2</v>
      </c>
    </row>
    <row r="5" spans="2:15" x14ac:dyDescent="0.25">
      <c r="B5" t="s">
        <v>163</v>
      </c>
      <c r="C5" s="6">
        <f>BM!V14</f>
        <v>0.67687539693068188</v>
      </c>
      <c r="F5" t="s">
        <v>172</v>
      </c>
      <c r="G5">
        <f>G2+(C3/C2)*(G3-G4)</f>
        <v>3.2252927262137157E-3</v>
      </c>
      <c r="K5">
        <f t="shared" ref="K5:K13" si="4">K4+0.06158</f>
        <v>0.18315999999999999</v>
      </c>
      <c r="L5">
        <f t="shared" si="0"/>
        <v>0.22422995935556533</v>
      </c>
      <c r="M5">
        <f t="shared" si="1"/>
        <v>2.5332585645526396E-4</v>
      </c>
      <c r="N5">
        <f t="shared" si="2"/>
        <v>2.532616987185288E-4</v>
      </c>
      <c r="O5">
        <f t="shared" si="3"/>
        <v>5.2171909936016933E-2</v>
      </c>
    </row>
    <row r="6" spans="2:15" x14ac:dyDescent="0.25">
      <c r="B6" t="s">
        <v>164</v>
      </c>
      <c r="C6" s="6">
        <f>BM!AA14</f>
        <v>6.0845079171871541E-2</v>
      </c>
      <c r="F6" s="55" t="s">
        <v>173</v>
      </c>
      <c r="G6">
        <f>G5/(1+G5)</f>
        <v>3.2149236563296232E-3</v>
      </c>
      <c r="I6" s="55"/>
      <c r="K6">
        <f t="shared" si="4"/>
        <v>0.24473999999999999</v>
      </c>
      <c r="L6">
        <f t="shared" si="0"/>
        <v>0.32404734793316203</v>
      </c>
      <c r="M6">
        <f t="shared" si="1"/>
        <v>4.1191758029553871E-4</v>
      </c>
      <c r="N6">
        <f t="shared" si="2"/>
        <v>4.1174797406636973E-4</v>
      </c>
      <c r="O6">
        <f t="shared" si="3"/>
        <v>8.4820082657672158E-2</v>
      </c>
    </row>
    <row r="7" spans="2:15" x14ac:dyDescent="0.25">
      <c r="K7">
        <f t="shared" si="4"/>
        <v>0.30631999999999998</v>
      </c>
      <c r="L7">
        <f t="shared" si="0"/>
        <v>0.44158689885826308</v>
      </c>
      <c r="M7">
        <f t="shared" si="1"/>
        <v>5.9866660535275542E-4</v>
      </c>
      <c r="N7">
        <f t="shared" si="2"/>
        <v>5.9830841808314762E-4</v>
      </c>
      <c r="O7">
        <f t="shared" si="3"/>
        <v>0.1232515341251284</v>
      </c>
    </row>
    <row r="8" spans="2:15" x14ac:dyDescent="0.25">
      <c r="K8">
        <f t="shared" si="4"/>
        <v>0.3679</v>
      </c>
      <c r="L8">
        <f t="shared" si="0"/>
        <v>0.5820281601012498</v>
      </c>
      <c r="M8">
        <f t="shared" si="1"/>
        <v>8.2180229379558666E-4</v>
      </c>
      <c r="N8">
        <f t="shared" si="2"/>
        <v>8.2112748934134734E-4</v>
      </c>
      <c r="O8">
        <f t="shared" si="3"/>
        <v>0.16915226280431755</v>
      </c>
    </row>
    <row r="9" spans="2:15" x14ac:dyDescent="0.25">
      <c r="K9">
        <f t="shared" si="4"/>
        <v>0.42948000000000003</v>
      </c>
      <c r="L9">
        <f t="shared" si="0"/>
        <v>0.752786931220641</v>
      </c>
      <c r="M9">
        <f t="shared" si="1"/>
        <v>1.0931070059161489E-3</v>
      </c>
      <c r="N9">
        <f t="shared" si="2"/>
        <v>1.0919134276984779E-3</v>
      </c>
      <c r="O9">
        <f t="shared" si="3"/>
        <v>0.22493416610588646</v>
      </c>
    </row>
    <row r="10" spans="2:15" x14ac:dyDescent="0.25">
      <c r="K10">
        <f t="shared" si="4"/>
        <v>0.49106000000000005</v>
      </c>
      <c r="L10">
        <f t="shared" si="0"/>
        <v>0.96486815734664222</v>
      </c>
      <c r="M10">
        <f t="shared" si="1"/>
        <v>1.4300656032584826E-3</v>
      </c>
      <c r="N10">
        <f t="shared" si="2"/>
        <v>1.4280234360619236E-3</v>
      </c>
      <c r="O10">
        <f t="shared" si="3"/>
        <v>0.29417282782875626</v>
      </c>
    </row>
    <row r="11" spans="2:15" x14ac:dyDescent="0.25">
      <c r="C11" s="6"/>
      <c r="K11">
        <f t="shared" si="4"/>
        <v>0.55264000000000002</v>
      </c>
      <c r="L11">
        <f t="shared" si="0"/>
        <v>1.2353361945636625</v>
      </c>
      <c r="M11">
        <f t="shared" si="1"/>
        <v>1.8597902522117821E-3</v>
      </c>
      <c r="N11">
        <f t="shared" si="2"/>
        <v>1.8563378531676494E-3</v>
      </c>
      <c r="O11">
        <f t="shared" si="3"/>
        <v>0.3824055977525358</v>
      </c>
    </row>
    <row r="12" spans="2:15" x14ac:dyDescent="0.25">
      <c r="C12" s="6"/>
      <c r="F12" s="55"/>
      <c r="K12">
        <f t="shared" si="4"/>
        <v>0.61421999999999999</v>
      </c>
      <c r="L12">
        <f t="shared" si="0"/>
        <v>1.5921509668723106</v>
      </c>
      <c r="M12">
        <f t="shared" si="1"/>
        <v>2.4267042001569639E-3</v>
      </c>
      <c r="N12">
        <f t="shared" si="2"/>
        <v>2.4208295628888377E-3</v>
      </c>
      <c r="O12">
        <f t="shared" si="3"/>
        <v>0.49869088995510058</v>
      </c>
    </row>
    <row r="13" spans="2:15" x14ac:dyDescent="0.25">
      <c r="E13" s="55"/>
      <c r="K13">
        <f t="shared" si="4"/>
        <v>0.67579999999999996</v>
      </c>
      <c r="L13">
        <f t="shared" si="0"/>
        <v>2.084515731030228</v>
      </c>
      <c r="M13">
        <f t="shared" si="1"/>
        <v>3.2089824967416543E-3</v>
      </c>
      <c r="N13">
        <f t="shared" si="2"/>
        <v>3.1987178670941346E-3</v>
      </c>
      <c r="O13">
        <f t="shared" si="3"/>
        <v>0.65893588062139175</v>
      </c>
    </row>
    <row r="14" spans="2:15" x14ac:dyDescent="0.25">
      <c r="L14" s="55"/>
    </row>
    <row r="15" spans="2:15" x14ac:dyDescent="0.25">
      <c r="L15" s="6"/>
    </row>
    <row r="16" spans="2:15" x14ac:dyDescent="0.25">
      <c r="L16" s="6"/>
    </row>
    <row r="17" spans="3:21" x14ac:dyDescent="0.25">
      <c r="C17" s="6"/>
    </row>
    <row r="18" spans="3:21" x14ac:dyDescent="0.25">
      <c r="C18" s="6"/>
      <c r="F18" s="55"/>
    </row>
    <row r="20" spans="3:21" x14ac:dyDescent="0.25">
      <c r="K20" t="s">
        <v>153</v>
      </c>
      <c r="L20">
        <v>0</v>
      </c>
      <c r="N20" t="s">
        <v>167</v>
      </c>
      <c r="P20" t="s">
        <v>167</v>
      </c>
      <c r="R20" t="s">
        <v>167</v>
      </c>
      <c r="T20" t="s">
        <v>159</v>
      </c>
      <c r="U20">
        <f>G6</f>
        <v>3.2149236563296232E-3</v>
      </c>
    </row>
    <row r="21" spans="3:21" x14ac:dyDescent="0.25">
      <c r="K21" t="s">
        <v>157</v>
      </c>
      <c r="L21">
        <v>0.06</v>
      </c>
      <c r="N21" t="s">
        <v>168</v>
      </c>
      <c r="P21" t="s">
        <v>168</v>
      </c>
      <c r="R21" t="s">
        <v>168</v>
      </c>
      <c r="T21" t="s">
        <v>158</v>
      </c>
      <c r="U21">
        <v>0.68</v>
      </c>
    </row>
    <row r="23" spans="3:21" x14ac:dyDescent="0.25">
      <c r="C23" s="6"/>
    </row>
    <row r="24" spans="3:21" x14ac:dyDescent="0.25">
      <c r="C24" s="6"/>
      <c r="F24" s="55"/>
    </row>
    <row r="29" spans="3:21" x14ac:dyDescent="0.25">
      <c r="C29" s="6"/>
    </row>
    <row r="30" spans="3:21" x14ac:dyDescent="0.25">
      <c r="C30" s="6"/>
      <c r="F30" s="55"/>
    </row>
    <row r="34" spans="3:6" x14ac:dyDescent="0.25">
      <c r="D34" s="6"/>
      <c r="E34" s="6"/>
    </row>
    <row r="35" spans="3:6" x14ac:dyDescent="0.25">
      <c r="C35" s="6"/>
      <c r="D35" s="6"/>
    </row>
    <row r="36" spans="3:6" x14ac:dyDescent="0.25">
      <c r="C36" s="6"/>
      <c r="F36" s="55"/>
    </row>
    <row r="38" spans="3:6" x14ac:dyDescent="0.25">
      <c r="D38" s="6"/>
      <c r="E38" s="6"/>
    </row>
    <row r="39" spans="3:6" x14ac:dyDescent="0.25">
      <c r="D39" s="6"/>
    </row>
    <row r="41" spans="3:6" x14ac:dyDescent="0.25">
      <c r="C41" s="6"/>
    </row>
    <row r="42" spans="3:6" x14ac:dyDescent="0.25">
      <c r="C42" s="6"/>
      <c r="F42" s="55"/>
    </row>
    <row r="47" spans="3:6" x14ac:dyDescent="0.25">
      <c r="C47" s="6"/>
    </row>
    <row r="48" spans="3:6" x14ac:dyDescent="0.25">
      <c r="C48" s="6"/>
      <c r="F48" s="55"/>
    </row>
    <row r="53" spans="2:7" x14ac:dyDescent="0.25">
      <c r="C53" s="6"/>
    </row>
    <row r="54" spans="2:7" x14ac:dyDescent="0.25">
      <c r="C54" s="6"/>
      <c r="F54" s="55"/>
    </row>
    <row r="59" spans="2:7" x14ac:dyDescent="0.25">
      <c r="C59" s="6"/>
    </row>
    <row r="60" spans="2:7" x14ac:dyDescent="0.25">
      <c r="C60" s="6"/>
      <c r="F60" s="55"/>
    </row>
    <row r="62" spans="2:7" x14ac:dyDescent="0.25">
      <c r="B62" t="s">
        <v>160</v>
      </c>
      <c r="C62">
        <f>$C$2</f>
        <v>8003238.360710321</v>
      </c>
      <c r="F62" t="s">
        <v>165</v>
      </c>
      <c r="G62">
        <f>$C$4/(1-$C$4)</f>
        <v>0</v>
      </c>
    </row>
    <row r="63" spans="2:7" x14ac:dyDescent="0.25">
      <c r="B63" t="s">
        <v>161</v>
      </c>
      <c r="C63">
        <f>$C$3</f>
        <v>12715.693988958334</v>
      </c>
      <c r="F63" t="s">
        <v>158</v>
      </c>
      <c r="G63">
        <f>C65/(1-C65)</f>
        <v>2.1250000000000004</v>
      </c>
    </row>
    <row r="64" spans="2:7" x14ac:dyDescent="0.25">
      <c r="B64" t="s">
        <v>162</v>
      </c>
      <c r="C64">
        <f>$C$4</f>
        <v>0</v>
      </c>
      <c r="F64" t="s">
        <v>157</v>
      </c>
      <c r="G64">
        <f>C66/(1-C66)</f>
        <v>6.4962726304579332E-2</v>
      </c>
    </row>
    <row r="65" spans="2:7" x14ac:dyDescent="0.25">
      <c r="B65" t="s">
        <v>163</v>
      </c>
      <c r="C65" s="6">
        <v>0.68</v>
      </c>
      <c r="F65" t="s">
        <v>166</v>
      </c>
      <c r="G65">
        <f>G62+(C63/C62)*(G63-G64)</f>
        <v>3.2730255426047421E-3</v>
      </c>
    </row>
    <row r="66" spans="2:7" x14ac:dyDescent="0.25">
      <c r="B66" t="s">
        <v>164</v>
      </c>
      <c r="C66" s="6">
        <f>C60+0.061</f>
        <v>6.0999999999999999E-2</v>
      </c>
      <c r="F66" s="55" t="s">
        <v>159</v>
      </c>
      <c r="G66">
        <f>G65/(1-G65)</f>
        <v>3.2837734168742983E-3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64B98-C149-4C4A-BB1F-60CC4BBA73A0}">
  <dimension ref="G5:P24"/>
  <sheetViews>
    <sheetView showGridLines="0" topLeftCell="D1" workbookViewId="0">
      <selection activeCell="L21" sqref="L21:O21"/>
    </sheetView>
  </sheetViews>
  <sheetFormatPr defaultRowHeight="15" x14ac:dyDescent="0.25"/>
  <cols>
    <col min="7" max="7" width="14.42578125" customWidth="1"/>
    <col min="8" max="8" width="30.28515625" customWidth="1"/>
    <col min="9" max="9" width="11.28515625" customWidth="1"/>
    <col min="10" max="10" width="17.140625" customWidth="1"/>
    <col min="11" max="11" width="21.7109375" customWidth="1"/>
    <col min="12" max="12" width="18" customWidth="1"/>
    <col min="13" max="13" width="16.7109375" customWidth="1"/>
    <col min="14" max="14" width="17.5703125" customWidth="1"/>
    <col min="15" max="15" width="24.42578125" customWidth="1"/>
    <col min="16" max="16" width="17.42578125" customWidth="1"/>
  </cols>
  <sheetData>
    <row r="5" spans="7:16" ht="15.75" thickBot="1" x14ac:dyDescent="0.3"/>
    <row r="6" spans="7:16" ht="15.75" thickBot="1" x14ac:dyDescent="0.3">
      <c r="G6" s="27" t="s">
        <v>10</v>
      </c>
      <c r="H6" s="27" t="s">
        <v>18</v>
      </c>
      <c r="I6" s="27" t="s">
        <v>7</v>
      </c>
      <c r="J6" s="27" t="s">
        <v>38</v>
      </c>
      <c r="K6" s="27" t="s">
        <v>86</v>
      </c>
      <c r="L6" s="27" t="s">
        <v>12</v>
      </c>
      <c r="M6" s="27" t="s">
        <v>39</v>
      </c>
      <c r="N6" s="49" t="s">
        <v>150</v>
      </c>
      <c r="O6" s="27" t="s">
        <v>13</v>
      </c>
      <c r="P6" s="28" t="s">
        <v>14</v>
      </c>
    </row>
    <row r="7" spans="7:16" ht="15.75" thickBot="1" x14ac:dyDescent="0.3">
      <c r="G7" s="29" t="s">
        <v>40</v>
      </c>
      <c r="H7" s="30" t="s">
        <v>49</v>
      </c>
      <c r="I7" s="30" t="s">
        <v>0</v>
      </c>
      <c r="J7" s="31">
        <f>(BM!E12+BM!E13)/24</f>
        <v>16.666666666666668</v>
      </c>
      <c r="K7" s="32">
        <v>2.5</v>
      </c>
      <c r="L7" s="30">
        <v>200</v>
      </c>
      <c r="M7" s="30" t="s">
        <v>149</v>
      </c>
      <c r="N7" s="50">
        <f>0.046/1000</f>
        <v>4.6E-5</v>
      </c>
      <c r="O7" s="30">
        <f>128.194</f>
        <v>128.19399999999999</v>
      </c>
      <c r="P7" s="33">
        <f t="shared" ref="P7:P21" si="0">J7/(PI()*(O7/1000))/4</f>
        <v>10.34596933111114</v>
      </c>
    </row>
    <row r="8" spans="7:16" ht="15.75" thickBot="1" x14ac:dyDescent="0.3">
      <c r="G8" s="29" t="s">
        <v>41</v>
      </c>
      <c r="H8" s="30" t="s">
        <v>50</v>
      </c>
      <c r="I8" s="30" t="s">
        <v>0</v>
      </c>
      <c r="J8" s="31">
        <f>J7</f>
        <v>16.666666666666668</v>
      </c>
      <c r="K8" s="32">
        <v>2.5</v>
      </c>
      <c r="L8" s="30">
        <v>200</v>
      </c>
      <c r="M8" s="30" t="s">
        <v>149</v>
      </c>
      <c r="N8" s="50">
        <f t="shared" ref="N8:N21" si="1">0.046/1000</f>
        <v>4.6E-5</v>
      </c>
      <c r="O8" s="30">
        <f t="shared" ref="O8:O21" si="2">128.194</f>
        <v>128.19399999999999</v>
      </c>
      <c r="P8" s="33">
        <f t="shared" si="0"/>
        <v>10.34596933111114</v>
      </c>
    </row>
    <row r="9" spans="7:16" ht="15.75" thickBot="1" x14ac:dyDescent="0.3">
      <c r="G9" s="29" t="s">
        <v>42</v>
      </c>
      <c r="H9" s="30" t="s">
        <v>55</v>
      </c>
      <c r="I9" s="30" t="s">
        <v>17</v>
      </c>
      <c r="J9" s="31">
        <f>BM!E14/24</f>
        <v>2.0833333333333335</v>
      </c>
      <c r="K9" s="32">
        <v>2.5</v>
      </c>
      <c r="L9" s="30">
        <v>200</v>
      </c>
      <c r="M9" s="30" t="s">
        <v>149</v>
      </c>
      <c r="N9" s="50">
        <f t="shared" si="1"/>
        <v>4.6E-5</v>
      </c>
      <c r="O9" s="30">
        <f t="shared" si="2"/>
        <v>128.19399999999999</v>
      </c>
      <c r="P9" s="33">
        <f t="shared" si="0"/>
        <v>1.2932461663888926</v>
      </c>
    </row>
    <row r="10" spans="7:16" ht="15.75" thickBot="1" x14ac:dyDescent="0.3">
      <c r="G10" s="29" t="s">
        <v>43</v>
      </c>
      <c r="H10" s="30" t="s">
        <v>54</v>
      </c>
      <c r="I10" s="30" t="s">
        <v>17</v>
      </c>
      <c r="J10" s="31">
        <f>J9</f>
        <v>2.0833333333333335</v>
      </c>
      <c r="K10" s="32">
        <v>2.5</v>
      </c>
      <c r="L10" s="30">
        <v>200</v>
      </c>
      <c r="M10" s="30" t="s">
        <v>149</v>
      </c>
      <c r="N10" s="50">
        <f t="shared" si="1"/>
        <v>4.6E-5</v>
      </c>
      <c r="O10" s="30">
        <f t="shared" si="2"/>
        <v>128.19399999999999</v>
      </c>
      <c r="P10" s="33">
        <f t="shared" si="0"/>
        <v>1.2932461663888926</v>
      </c>
    </row>
    <row r="11" spans="7:16" ht="29.25" thickBot="1" x14ac:dyDescent="0.3">
      <c r="G11" s="29" t="s">
        <v>44</v>
      </c>
      <c r="H11" s="30" t="s">
        <v>51</v>
      </c>
      <c r="I11" s="30" t="s">
        <v>45</v>
      </c>
      <c r="J11" s="30">
        <f>BM!E15/24</f>
        <v>2.0833333333333335</v>
      </c>
      <c r="K11" s="32">
        <v>2.5</v>
      </c>
      <c r="L11" s="30">
        <v>200</v>
      </c>
      <c r="M11" s="30" t="s">
        <v>149</v>
      </c>
      <c r="N11" s="50">
        <f t="shared" si="1"/>
        <v>4.6E-5</v>
      </c>
      <c r="O11" s="30">
        <f t="shared" si="2"/>
        <v>128.19399999999999</v>
      </c>
      <c r="P11" s="33">
        <f t="shared" si="0"/>
        <v>1.2932461663888926</v>
      </c>
    </row>
    <row r="12" spans="7:16" ht="29.25" thickBot="1" x14ac:dyDescent="0.3">
      <c r="G12" s="29" t="s">
        <v>46</v>
      </c>
      <c r="H12" s="30" t="s">
        <v>87</v>
      </c>
      <c r="I12" s="30" t="s">
        <v>45</v>
      </c>
      <c r="J12" s="30">
        <f>J11</f>
        <v>2.0833333333333335</v>
      </c>
      <c r="K12" s="32">
        <v>2.5</v>
      </c>
      <c r="L12" s="30">
        <v>200</v>
      </c>
      <c r="M12" s="30" t="s">
        <v>149</v>
      </c>
      <c r="N12" s="50">
        <f t="shared" si="1"/>
        <v>4.6E-5</v>
      </c>
      <c r="O12" s="30">
        <f t="shared" si="2"/>
        <v>128.19399999999999</v>
      </c>
      <c r="P12" s="33">
        <f t="shared" si="0"/>
        <v>1.2932461663888926</v>
      </c>
    </row>
    <row r="13" spans="7:16" ht="15.75" thickBot="1" x14ac:dyDescent="0.3">
      <c r="G13" s="29" t="s">
        <v>47</v>
      </c>
      <c r="H13" s="30" t="s">
        <v>52</v>
      </c>
      <c r="I13" s="30" t="s">
        <v>20</v>
      </c>
      <c r="J13" s="31">
        <f>J12+J10+J8</f>
        <v>20.833333333333336</v>
      </c>
      <c r="K13" s="32">
        <v>2.5</v>
      </c>
      <c r="L13" s="30">
        <v>200</v>
      </c>
      <c r="M13" s="30" t="s">
        <v>149</v>
      </c>
      <c r="N13" s="50">
        <f t="shared" si="1"/>
        <v>4.6E-5</v>
      </c>
      <c r="O13" s="30">
        <f t="shared" si="2"/>
        <v>128.19399999999999</v>
      </c>
      <c r="P13" s="33">
        <f t="shared" si="0"/>
        <v>12.932461663888926</v>
      </c>
    </row>
    <row r="14" spans="7:16" ht="15.75" thickBot="1" x14ac:dyDescent="0.3">
      <c r="G14" s="29" t="s">
        <v>48</v>
      </c>
      <c r="H14" s="30" t="s">
        <v>53</v>
      </c>
      <c r="I14" s="30" t="s">
        <v>20</v>
      </c>
      <c r="J14" s="30">
        <v>20.83</v>
      </c>
      <c r="K14" s="32">
        <v>3</v>
      </c>
      <c r="L14" s="30">
        <v>200</v>
      </c>
      <c r="M14" s="30" t="s">
        <v>149</v>
      </c>
      <c r="N14" s="50">
        <f t="shared" si="1"/>
        <v>4.6E-5</v>
      </c>
      <c r="O14" s="30">
        <f t="shared" si="2"/>
        <v>128.19399999999999</v>
      </c>
      <c r="P14" s="33">
        <f t="shared" si="0"/>
        <v>12.930392470022701</v>
      </c>
    </row>
    <row r="15" spans="7:16" ht="15.75" thickBot="1" x14ac:dyDescent="0.3">
      <c r="G15" s="29" t="s">
        <v>56</v>
      </c>
      <c r="H15" s="30" t="s">
        <v>63</v>
      </c>
      <c r="I15" s="30" t="s">
        <v>8</v>
      </c>
      <c r="J15" s="31">
        <f>BM!G23/24</f>
        <v>305.9522569444444</v>
      </c>
      <c r="K15" s="32">
        <v>5</v>
      </c>
      <c r="L15" s="30">
        <v>200</v>
      </c>
      <c r="M15" s="30" t="s">
        <v>149</v>
      </c>
      <c r="N15" s="50">
        <f t="shared" si="1"/>
        <v>4.6E-5</v>
      </c>
      <c r="O15" s="30">
        <f t="shared" si="2"/>
        <v>128.19399999999999</v>
      </c>
      <c r="P15" s="33">
        <f t="shared" si="0"/>
        <v>189.92236002788744</v>
      </c>
    </row>
    <row r="16" spans="7:16" ht="29.25" thickBot="1" x14ac:dyDescent="0.3">
      <c r="G16" s="29" t="s">
        <v>57</v>
      </c>
      <c r="H16" s="30" t="s">
        <v>64</v>
      </c>
      <c r="I16" s="30" t="s">
        <v>8</v>
      </c>
      <c r="J16" s="31">
        <f>J15</f>
        <v>305.9522569444444</v>
      </c>
      <c r="K16" s="32">
        <v>5</v>
      </c>
      <c r="L16" s="30">
        <v>200</v>
      </c>
      <c r="M16" s="30" t="s">
        <v>149</v>
      </c>
      <c r="N16" s="50">
        <f t="shared" si="1"/>
        <v>4.6E-5</v>
      </c>
      <c r="O16" s="30">
        <f t="shared" si="2"/>
        <v>128.19399999999999</v>
      </c>
      <c r="P16" s="33">
        <f t="shared" si="0"/>
        <v>189.92236002788744</v>
      </c>
    </row>
    <row r="17" spans="7:16" ht="15.75" thickBot="1" x14ac:dyDescent="0.3">
      <c r="G17" s="29" t="s">
        <v>58</v>
      </c>
      <c r="H17" s="30" t="s">
        <v>65</v>
      </c>
      <c r="I17" s="30" t="s">
        <v>1</v>
      </c>
      <c r="J17" s="31">
        <f>10</f>
        <v>10</v>
      </c>
      <c r="K17" s="32">
        <v>1</v>
      </c>
      <c r="L17" s="30">
        <v>200</v>
      </c>
      <c r="M17" s="30" t="s">
        <v>149</v>
      </c>
      <c r="N17" s="50">
        <f t="shared" si="1"/>
        <v>4.6E-5</v>
      </c>
      <c r="O17" s="30">
        <f t="shared" si="2"/>
        <v>128.19399999999999</v>
      </c>
      <c r="P17" s="33">
        <f t="shared" si="0"/>
        <v>6.2075815986666845</v>
      </c>
    </row>
    <row r="18" spans="7:16" ht="15.75" thickBot="1" x14ac:dyDescent="0.3">
      <c r="G18" s="29" t="s">
        <v>59</v>
      </c>
      <c r="H18" s="30" t="s">
        <v>69</v>
      </c>
      <c r="I18" s="30" t="s">
        <v>1</v>
      </c>
      <c r="J18" s="30">
        <f>0.2*J16</f>
        <v>61.190451388888881</v>
      </c>
      <c r="K18" s="32">
        <v>7</v>
      </c>
      <c r="L18" s="30">
        <v>200</v>
      </c>
      <c r="M18" s="30" t="s">
        <v>149</v>
      </c>
      <c r="N18" s="50">
        <f t="shared" si="1"/>
        <v>4.6E-5</v>
      </c>
      <c r="O18" s="30">
        <f t="shared" si="2"/>
        <v>128.19399999999999</v>
      </c>
      <c r="P18" s="33">
        <f t="shared" si="0"/>
        <v>37.984472005577487</v>
      </c>
    </row>
    <row r="19" spans="7:16" ht="29.25" thickBot="1" x14ac:dyDescent="0.3">
      <c r="G19" s="29" t="s">
        <v>60</v>
      </c>
      <c r="H19" s="30" t="s">
        <v>66</v>
      </c>
      <c r="I19" s="30" t="s">
        <v>21</v>
      </c>
      <c r="J19" s="30">
        <f>J18</f>
        <v>61.190451388888881</v>
      </c>
      <c r="K19" s="32">
        <v>1.5</v>
      </c>
      <c r="L19" s="30">
        <v>200</v>
      </c>
      <c r="M19" s="30" t="s">
        <v>149</v>
      </c>
      <c r="N19" s="50">
        <f t="shared" si="1"/>
        <v>4.6E-5</v>
      </c>
      <c r="O19" s="30">
        <f t="shared" si="2"/>
        <v>128.19399999999999</v>
      </c>
      <c r="P19" s="33">
        <f t="shared" si="0"/>
        <v>37.984472005577487</v>
      </c>
    </row>
    <row r="20" spans="7:16" ht="29.25" thickBot="1" x14ac:dyDescent="0.3">
      <c r="G20" s="29" t="s">
        <v>61</v>
      </c>
      <c r="H20" s="30" t="s">
        <v>67</v>
      </c>
      <c r="I20" s="30" t="s">
        <v>21</v>
      </c>
      <c r="J20" s="31">
        <f>J17</f>
        <v>10</v>
      </c>
      <c r="K20" s="32">
        <v>2</v>
      </c>
      <c r="L20" s="30">
        <v>200</v>
      </c>
      <c r="M20" s="30" t="s">
        <v>149</v>
      </c>
      <c r="N20" s="50">
        <f t="shared" si="1"/>
        <v>4.6E-5</v>
      </c>
      <c r="O20" s="30">
        <f t="shared" si="2"/>
        <v>128.19399999999999</v>
      </c>
      <c r="P20" s="33">
        <f t="shared" si="0"/>
        <v>6.2075815986666845</v>
      </c>
    </row>
    <row r="21" spans="7:16" ht="29.25" thickBot="1" x14ac:dyDescent="0.3">
      <c r="G21" s="34" t="s">
        <v>62</v>
      </c>
      <c r="H21" s="35" t="s">
        <v>68</v>
      </c>
      <c r="I21" s="35" t="s">
        <v>1</v>
      </c>
      <c r="J21" s="36">
        <f>J20</f>
        <v>10</v>
      </c>
      <c r="K21" s="37">
        <v>2</v>
      </c>
      <c r="L21" s="35">
        <v>200</v>
      </c>
      <c r="M21" s="35" t="s">
        <v>149</v>
      </c>
      <c r="N21" s="52">
        <f t="shared" si="1"/>
        <v>4.6E-5</v>
      </c>
      <c r="O21" s="3">
        <f t="shared" si="2"/>
        <v>128.19399999999999</v>
      </c>
      <c r="P21" s="4">
        <f t="shared" si="0"/>
        <v>6.2075815986666845</v>
      </c>
    </row>
    <row r="24" spans="7:16" x14ac:dyDescent="0.25">
      <c r="K24" s="17"/>
    </row>
  </sheetData>
  <phoneticPr fontId="3" type="noConversion"/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EF016-6466-4E8B-A4AB-4460AA8E922D}">
  <dimension ref="G5:R21"/>
  <sheetViews>
    <sheetView showGridLines="0" topLeftCell="F1" workbookViewId="0">
      <selection activeCell="R19" sqref="R19"/>
    </sheetView>
  </sheetViews>
  <sheetFormatPr defaultRowHeight="15" x14ac:dyDescent="0.25"/>
  <cols>
    <col min="7" max="7" width="14.42578125" customWidth="1"/>
    <col min="8" max="8" width="30.28515625" customWidth="1"/>
    <col min="9" max="9" width="11.28515625" customWidth="1"/>
    <col min="10" max="10" width="13.85546875" customWidth="1"/>
    <col min="11" max="11" width="15" customWidth="1"/>
    <col min="12" max="12" width="24.42578125" customWidth="1"/>
    <col min="13" max="13" width="17.42578125" customWidth="1"/>
    <col min="14" max="14" width="14.42578125" bestFit="1" customWidth="1"/>
    <col min="15" max="15" width="17.7109375" customWidth="1"/>
    <col min="16" max="16" width="12.85546875" customWidth="1"/>
    <col min="17" max="17" width="13.85546875" customWidth="1"/>
    <col min="18" max="18" width="14" customWidth="1"/>
  </cols>
  <sheetData>
    <row r="5" spans="7:18" ht="15.75" thickBot="1" x14ac:dyDescent="0.3"/>
    <row r="6" spans="7:18" ht="45.75" thickBot="1" x14ac:dyDescent="0.3">
      <c r="G6" s="29" t="s">
        <v>10</v>
      </c>
      <c r="H6" s="29" t="s">
        <v>18</v>
      </c>
      <c r="I6" s="29" t="s">
        <v>7</v>
      </c>
      <c r="J6" s="29" t="s">
        <v>144</v>
      </c>
      <c r="K6" s="29" t="s">
        <v>145</v>
      </c>
      <c r="L6" s="29" t="s">
        <v>13</v>
      </c>
      <c r="M6" s="38" t="s">
        <v>14</v>
      </c>
      <c r="N6" s="39" t="s">
        <v>143</v>
      </c>
      <c r="O6" s="39" t="s">
        <v>147</v>
      </c>
      <c r="P6" s="39" t="s">
        <v>148</v>
      </c>
      <c r="Q6" s="39" t="s">
        <v>151</v>
      </c>
      <c r="R6" s="39" t="s">
        <v>152</v>
      </c>
    </row>
    <row r="7" spans="7:18" ht="15.75" thickBot="1" x14ac:dyDescent="0.3">
      <c r="G7" s="40" t="s">
        <v>40</v>
      </c>
      <c r="H7" s="41" t="s">
        <v>49</v>
      </c>
      <c r="I7" s="41" t="s">
        <v>0</v>
      </c>
      <c r="J7" s="41">
        <f>'Propriedades dos Fluidos'!I9</f>
        <v>1020</v>
      </c>
      <c r="K7" s="41">
        <f>'Propriedades dos Fluidos'!J9</f>
        <v>0.05</v>
      </c>
      <c r="L7" s="41">
        <f>Tubulações!O7</f>
        <v>128.19399999999999</v>
      </c>
      <c r="M7" s="42">
        <f>Tubulações!P7</f>
        <v>10.34596933111114</v>
      </c>
      <c r="N7" s="46">
        <f>(J7*(L7/1000)*M7)/K7</f>
        <v>27056.340325622208</v>
      </c>
      <c r="O7" s="46" t="str">
        <f>IF(N7&lt;=2100, "Laminar", IF(N7&lt;4000, "Transição", "Turbulento"))</f>
        <v>Turbulento</v>
      </c>
      <c r="P7" s="47">
        <f>IF(N7&lt;=2100, 64/N7, 0.25 / (LOG10(((Tubulações!N7)/L7)/3.7 + 5.74/(N7^0.9)))^2)</f>
        <v>2.3961785472378212E-2</v>
      </c>
      <c r="Q7" s="47">
        <f>P7*(Tubulações!K7/L7)*((M7^2)/2*9.81)</f>
        <v>0.245342547532102</v>
      </c>
      <c r="R7" s="47"/>
    </row>
    <row r="8" spans="7:18" ht="15.75" thickBot="1" x14ac:dyDescent="0.3">
      <c r="G8" s="29" t="s">
        <v>41</v>
      </c>
      <c r="H8" s="30" t="s">
        <v>50</v>
      </c>
      <c r="I8" s="30" t="s">
        <v>0</v>
      </c>
      <c r="J8" s="30">
        <f>'Propriedades dos Fluidos'!I9</f>
        <v>1020</v>
      </c>
      <c r="K8" s="30">
        <f>K7</f>
        <v>0.05</v>
      </c>
      <c r="L8" s="41">
        <f>Tubulações!O8</f>
        <v>128.19399999999999</v>
      </c>
      <c r="M8" s="42">
        <f>Tubulações!P8</f>
        <v>10.34596933111114</v>
      </c>
      <c r="N8" s="46">
        <f t="shared" ref="N8:N21" si="0">(J8*(L8/1000)*M8)/K8</f>
        <v>27056.340325622208</v>
      </c>
      <c r="O8" s="46" t="str">
        <f t="shared" ref="O8" si="1">IF(N8&lt;=2100, "Laminar", IF(N8&lt;4000, "Transição", "Turbulento"))</f>
        <v>Turbulento</v>
      </c>
      <c r="P8" s="47">
        <f>IF(N8&lt;=2100, 64/N8, 0.25 / (LOG10(((Tubulações!N8)/L8)/3.7 + 5.74/(N8^0.9)))^2)</f>
        <v>2.3961785472378212E-2</v>
      </c>
      <c r="Q8" s="47">
        <f>P8*(Tubulações!K8/L8)*((M8^2)/2*9.81)</f>
        <v>0.245342547532102</v>
      </c>
    </row>
    <row r="9" spans="7:18" ht="15.75" thickBot="1" x14ac:dyDescent="0.3">
      <c r="G9" s="40" t="s">
        <v>42</v>
      </c>
      <c r="H9" s="41" t="s">
        <v>55</v>
      </c>
      <c r="I9" s="41" t="s">
        <v>17</v>
      </c>
      <c r="J9" s="41">
        <f>'Propriedades dos Fluidos'!I10</f>
        <v>1050</v>
      </c>
      <c r="K9" s="41">
        <f>'Propriedades dos Fluidos'!J10</f>
        <v>0.02</v>
      </c>
      <c r="L9" s="41">
        <f>Tubulações!O9</f>
        <v>128.19399999999999</v>
      </c>
      <c r="M9" s="42">
        <f>Tubulações!P9</f>
        <v>1.2932461663888926</v>
      </c>
      <c r="N9" s="46">
        <f t="shared" si="0"/>
        <v>8703.7859503380278</v>
      </c>
      <c r="O9" s="46" t="str">
        <f t="shared" ref="O9" si="2">IF(N9&lt;=2100, "Laminar", IF(N9&lt;4000, "Transição", "Turbulento"))</f>
        <v>Turbulento</v>
      </c>
      <c r="P9" s="47">
        <f>IF(N9&lt;=2100, 64/N9, 0.25 / (LOG10(((Tubulações!N9)/L9)/3.7 + 5.74/(N9^0.9)))^2)</f>
        <v>3.2190557305601379E-2</v>
      </c>
      <c r="Q9" s="47">
        <f>P9*(Tubulações!K9/L9)*((M9^2)/2*9.81)</f>
        <v>5.1499405590899076E-3</v>
      </c>
    </row>
    <row r="10" spans="7:18" ht="15.75" thickBot="1" x14ac:dyDescent="0.3">
      <c r="G10" s="29" t="s">
        <v>43</v>
      </c>
      <c r="H10" s="30" t="s">
        <v>54</v>
      </c>
      <c r="I10" s="30" t="s">
        <v>17</v>
      </c>
      <c r="J10" s="30">
        <f>'Propriedades dos Fluidos'!I10</f>
        <v>1050</v>
      </c>
      <c r="K10" s="30">
        <f>K9</f>
        <v>0.02</v>
      </c>
      <c r="L10" s="41">
        <f>Tubulações!O10</f>
        <v>128.19399999999999</v>
      </c>
      <c r="M10" s="42">
        <f>Tubulações!P10</f>
        <v>1.2932461663888926</v>
      </c>
      <c r="N10" s="46">
        <f t="shared" si="0"/>
        <v>8703.7859503380278</v>
      </c>
      <c r="O10" s="46" t="str">
        <f t="shared" ref="O10" si="3">IF(N10&lt;=2100, "Laminar", IF(N10&lt;4000, "Transição", "Turbulento"))</f>
        <v>Turbulento</v>
      </c>
      <c r="P10" s="47">
        <f>IF(N10&lt;=2100, 64/N10, 0.25 / (LOG10(((Tubulações!N10)/L10)/3.7 + 5.74/(N10^0.9)))^2)</f>
        <v>3.2190557305601379E-2</v>
      </c>
      <c r="Q10" s="47">
        <f>P10*(Tubulações!K10/L10)*((M10^2)/2*9.81)</f>
        <v>5.1499405590899076E-3</v>
      </c>
    </row>
    <row r="11" spans="7:18" ht="29.25" thickBot="1" x14ac:dyDescent="0.3">
      <c r="G11" s="40" t="s">
        <v>44</v>
      </c>
      <c r="H11" s="41" t="s">
        <v>51</v>
      </c>
      <c r="I11" s="41" t="s">
        <v>45</v>
      </c>
      <c r="J11" s="41">
        <f>'Propriedades dos Fluidos'!I11</f>
        <v>1080</v>
      </c>
      <c r="K11" s="41">
        <f>'Propriedades dos Fluidos'!J11</f>
        <v>0.8</v>
      </c>
      <c r="L11" s="41">
        <f>Tubulações!O11</f>
        <v>128.19399999999999</v>
      </c>
      <c r="M11" s="42">
        <f>Tubulações!P11</f>
        <v>1.2932461663888926</v>
      </c>
      <c r="N11" s="46">
        <f t="shared" si="0"/>
        <v>223.81163872297782</v>
      </c>
      <c r="O11" s="46" t="str">
        <f t="shared" ref="O11" si="4">IF(N11&lt;=2100, "Laminar", IF(N11&lt;4000, "Transição", "Turbulento"))</f>
        <v>Laminar</v>
      </c>
      <c r="P11" s="47">
        <f>IF(N11&lt;=2100, 64/N11, 0.25 / (LOG10(((Tubulações!N11)/L11)/3.7 + 5.74/(N11^0.9)))^2)</f>
        <v>0.28595474464675097</v>
      </c>
      <c r="Q11" s="47">
        <f>P11*(Tubulações!K11/L11)*((M11^2)/2*9.81)</f>
        <v>4.5747885739904515E-2</v>
      </c>
    </row>
    <row r="12" spans="7:18" ht="29.25" thickBot="1" x14ac:dyDescent="0.3">
      <c r="G12" s="29" t="s">
        <v>46</v>
      </c>
      <c r="H12" s="30" t="s">
        <v>87</v>
      </c>
      <c r="I12" s="30" t="s">
        <v>45</v>
      </c>
      <c r="J12" s="30">
        <f>'Propriedades dos Fluidos'!I11</f>
        <v>1080</v>
      </c>
      <c r="K12" s="30">
        <f>K11</f>
        <v>0.8</v>
      </c>
      <c r="L12" s="41">
        <f>Tubulações!O12</f>
        <v>128.19399999999999</v>
      </c>
      <c r="M12" s="42">
        <f>Tubulações!P12</f>
        <v>1.2932461663888926</v>
      </c>
      <c r="N12" s="46">
        <f t="shared" si="0"/>
        <v>223.81163872297782</v>
      </c>
      <c r="O12" s="46" t="str">
        <f t="shared" ref="O12" si="5">IF(N12&lt;=2100, "Laminar", IF(N12&lt;4000, "Transição", "Turbulento"))</f>
        <v>Laminar</v>
      </c>
      <c r="P12" s="47">
        <f>IF(N12&lt;=2100, 64/N12, 0.25 / (LOG10(((Tubulações!N12)/L12)/3.7 + 5.74/(N12^0.9)))^2)</f>
        <v>0.28595474464675097</v>
      </c>
      <c r="Q12" s="47">
        <f>P12*(Tubulações!K12/L12)*((M12^2)/2*9.81)</f>
        <v>4.5747885739904515E-2</v>
      </c>
    </row>
    <row r="13" spans="7:18" ht="15.75" thickBot="1" x14ac:dyDescent="0.3">
      <c r="G13" s="40" t="s">
        <v>47</v>
      </c>
      <c r="H13" s="41" t="s">
        <v>52</v>
      </c>
      <c r="I13" s="41" t="s">
        <v>20</v>
      </c>
      <c r="J13" s="41">
        <f>(J8+J9+J11)/3</f>
        <v>1050</v>
      </c>
      <c r="K13" s="41">
        <f>0.15</f>
        <v>0.15</v>
      </c>
      <c r="L13" s="41">
        <f>Tubulações!O13</f>
        <v>128.19399999999999</v>
      </c>
      <c r="M13" s="42">
        <f>Tubulações!P13</f>
        <v>12.932461663888926</v>
      </c>
      <c r="N13" s="46">
        <f t="shared" si="0"/>
        <v>11605.047933784037</v>
      </c>
      <c r="O13" s="46" t="str">
        <f t="shared" ref="O13" si="6">IF(N13&lt;=2100, "Laminar", IF(N13&lt;4000, "Transição", "Turbulento"))</f>
        <v>Turbulento</v>
      </c>
      <c r="P13" s="47">
        <f>IF(N13&lt;=2100, 64/N13, 0.25 / (LOG10(((Tubulações!N13)/L13)/3.7 + 5.74/(N13^0.9)))^2)</f>
        <v>2.9742165471354401E-2</v>
      </c>
      <c r="Q13" s="47">
        <f>P13*(Tubulações!K13/L13)*((M13^2)/2*9.81)</f>
        <v>0.47582395924980997</v>
      </c>
    </row>
    <row r="14" spans="7:18" ht="15.75" thickBot="1" x14ac:dyDescent="0.3">
      <c r="G14" s="29" t="s">
        <v>48</v>
      </c>
      <c r="H14" s="30" t="s">
        <v>53</v>
      </c>
      <c r="I14" s="30" t="s">
        <v>20</v>
      </c>
      <c r="J14" s="41">
        <f>J13</f>
        <v>1050</v>
      </c>
      <c r="K14" s="30">
        <f>K13</f>
        <v>0.15</v>
      </c>
      <c r="L14" s="41">
        <f>Tubulações!O14</f>
        <v>128.19399999999999</v>
      </c>
      <c r="M14" s="42">
        <f>Tubulações!P14</f>
        <v>12.930392470022701</v>
      </c>
      <c r="N14" s="46">
        <f t="shared" si="0"/>
        <v>11603.191126114629</v>
      </c>
      <c r="O14" s="46" t="str">
        <f t="shared" ref="O14" si="7">IF(N14&lt;=2100, "Laminar", IF(N14&lt;4000, "Transição", "Turbulento"))</f>
        <v>Turbulento</v>
      </c>
      <c r="P14" s="47">
        <f>IF(N14&lt;=2100, 64/N14, 0.25 / (LOG10(((Tubulações!N14)/L14)/3.7 + 5.74/(N14^0.9)))^2)</f>
        <v>2.9743448632129032E-2</v>
      </c>
      <c r="Q14" s="47">
        <f>P14*(Tubulações!K14/L14)*((M14^2)/2*9.81)</f>
        <v>0.57083067549713262</v>
      </c>
    </row>
    <row r="15" spans="7:18" ht="15.75" thickBot="1" x14ac:dyDescent="0.3">
      <c r="G15" s="40" t="s">
        <v>56</v>
      </c>
      <c r="H15" s="41" t="s">
        <v>63</v>
      </c>
      <c r="I15" s="41" t="s">
        <v>8</v>
      </c>
      <c r="J15" s="41">
        <f>'Propriedades dos Fluidos'!I6</f>
        <v>1.1499999999999999</v>
      </c>
      <c r="K15" s="41">
        <f>'Propriedades dos Fluidos'!J6</f>
        <v>1.2999999999999999E-5</v>
      </c>
      <c r="L15" s="41">
        <f>Tubulações!O15</f>
        <v>128.19399999999999</v>
      </c>
      <c r="M15" s="42">
        <f>Tubulações!P15</f>
        <v>189.92236002788744</v>
      </c>
      <c r="N15" s="46">
        <f t="shared" si="0"/>
        <v>2153764.8518944033</v>
      </c>
      <c r="O15" s="46" t="str">
        <f t="shared" ref="O15" si="8">IF(N15&lt;=2100, "Laminar", IF(N15&lt;4000, "Transição", "Turbulento"))</f>
        <v>Turbulento</v>
      </c>
      <c r="P15" s="47">
        <f>IF(N15&lt;=2100, 64/N15, 0.25 / (LOG10(((Tubulações!N15)/L15)/3.7 + 5.74/(N15^0.9)))^2)</f>
        <v>1.0255574835537202E-2</v>
      </c>
      <c r="Q15" s="47">
        <f>P15*(Tubulações!K15/L15)*((M15^2)/2*9.81)</f>
        <v>70.770704973170439</v>
      </c>
    </row>
    <row r="16" spans="7:18" ht="29.25" thickBot="1" x14ac:dyDescent="0.3">
      <c r="G16" s="29" t="s">
        <v>57</v>
      </c>
      <c r="H16" s="30" t="s">
        <v>64</v>
      </c>
      <c r="I16" s="30" t="s">
        <v>8</v>
      </c>
      <c r="J16" s="30">
        <f>J15</f>
        <v>1.1499999999999999</v>
      </c>
      <c r="K16" s="30">
        <f>K15</f>
        <v>1.2999999999999999E-5</v>
      </c>
      <c r="L16" s="41">
        <f>Tubulações!O16</f>
        <v>128.19399999999999</v>
      </c>
      <c r="M16" s="42">
        <f>Tubulações!P16</f>
        <v>189.92236002788744</v>
      </c>
      <c r="N16" s="46">
        <f t="shared" si="0"/>
        <v>2153764.8518944033</v>
      </c>
      <c r="O16" s="46" t="str">
        <f t="shared" ref="O16" si="9">IF(N16&lt;=2100, "Laminar", IF(N16&lt;4000, "Transição", "Turbulento"))</f>
        <v>Turbulento</v>
      </c>
      <c r="P16" s="47">
        <f>IF(N16&lt;=2100, 64/N16, 0.25 / (LOG10(((Tubulações!N16)/L16)/3.7 + 5.74/(N16^0.9)))^2)</f>
        <v>1.0255574835537202E-2</v>
      </c>
      <c r="Q16" s="47">
        <f>P16*(Tubulações!K16/L16)*((M16^2)/2*9.81)</f>
        <v>70.770704973170439</v>
      </c>
    </row>
    <row r="17" spans="7:17" ht="15.75" thickBot="1" x14ac:dyDescent="0.3">
      <c r="G17" s="40" t="s">
        <v>58</v>
      </c>
      <c r="H17" s="41" t="s">
        <v>65</v>
      </c>
      <c r="I17" s="41" t="s">
        <v>1</v>
      </c>
      <c r="J17" s="41">
        <f>'Propriedades dos Fluidos'!I4</f>
        <v>998</v>
      </c>
      <c r="K17" s="41">
        <f>'Propriedades dos Fluidos'!J4</f>
        <v>1E-3</v>
      </c>
      <c r="L17" s="41">
        <f>Tubulações!O17</f>
        <v>128.19399999999999</v>
      </c>
      <c r="M17" s="42">
        <f>Tubulações!P17</f>
        <v>6.2075815986666845</v>
      </c>
      <c r="N17" s="46">
        <f t="shared" si="0"/>
        <v>794183.16602855781</v>
      </c>
      <c r="O17" s="46" t="str">
        <f t="shared" ref="O17" si="10">IF(N17&lt;=2100, "Laminar", IF(N17&lt;4000, "Transição", "Turbulento"))</f>
        <v>Turbulento</v>
      </c>
      <c r="P17" s="47">
        <f>IF(N17&lt;=2100, 64/N17, 0.25 / (LOG10(((Tubulações!N17)/L17)/3.7 + 5.74/(N17^0.9)))^2)</f>
        <v>1.2078377240623054E-2</v>
      </c>
      <c r="Q17" s="47">
        <f>P17*(Tubulações!K17/L17)*((M17^2)/2*9.81)</f>
        <v>1.7808394861832125E-2</v>
      </c>
    </row>
    <row r="18" spans="7:17" ht="15.75" thickBot="1" x14ac:dyDescent="0.3">
      <c r="G18" s="29" t="s">
        <v>59</v>
      </c>
      <c r="H18" s="30" t="s">
        <v>69</v>
      </c>
      <c r="I18" s="30" t="s">
        <v>1</v>
      </c>
      <c r="J18" s="30">
        <f>J17</f>
        <v>998</v>
      </c>
      <c r="K18" s="30">
        <f>K17</f>
        <v>1E-3</v>
      </c>
      <c r="L18" s="41">
        <f>Tubulações!O18</f>
        <v>128.19399999999999</v>
      </c>
      <c r="M18" s="42">
        <f>Tubulações!P18</f>
        <v>37.984472005577487</v>
      </c>
      <c r="N18" s="46">
        <f t="shared" si="0"/>
        <v>4859642.6414744332</v>
      </c>
      <c r="O18" s="46" t="str">
        <f t="shared" ref="O18" si="11">IF(N18&lt;=2100, "Laminar", IF(N18&lt;4000, "Transição", "Turbulento"))</f>
        <v>Turbulento</v>
      </c>
      <c r="P18" s="47">
        <f>IF(N18&lt;=2100, 64/N18, 0.25 / (LOG10(((Tubulações!N18)/L18)/3.7 + 5.74/(N18^0.9)))^2)</f>
        <v>9.0652820577425582E-3</v>
      </c>
      <c r="Q18" s="47">
        <f>P18*(Tubulações!K18/L18)*((M18^2)/2*9.81)</f>
        <v>3.5031833016227241</v>
      </c>
    </row>
    <row r="19" spans="7:17" ht="29.25" thickBot="1" x14ac:dyDescent="0.3">
      <c r="G19" s="40" t="s">
        <v>60</v>
      </c>
      <c r="H19" s="41" t="s">
        <v>66</v>
      </c>
      <c r="I19" s="41" t="s">
        <v>21</v>
      </c>
      <c r="J19" s="41">
        <f>'Propriedades dos Fluidos'!I5</f>
        <v>1010</v>
      </c>
      <c r="K19" s="41">
        <f>K18</f>
        <v>1E-3</v>
      </c>
      <c r="L19" s="41">
        <f>Tubulações!O19</f>
        <v>128.19399999999999</v>
      </c>
      <c r="M19" s="42">
        <f>Tubulações!P19</f>
        <v>37.984472005577487</v>
      </c>
      <c r="N19" s="46">
        <f t="shared" si="0"/>
        <v>4918075.2183258301</v>
      </c>
      <c r="O19" s="46" t="str">
        <f t="shared" ref="O19" si="12">IF(N19&lt;=2100, "Laminar", IF(N19&lt;4000, "Transição", "Turbulento"))</f>
        <v>Turbulento</v>
      </c>
      <c r="P19" s="47">
        <f>IF(N19&lt;=2100, 64/N19, 0.25 / (LOG10(((Tubulações!N19)/L19)/3.7 + 5.74/(N19^0.9)))^2)</f>
        <v>9.0494542383764212E-3</v>
      </c>
      <c r="Q19" s="47">
        <f>P19*(Tubulações!K19/L19)*((M19^2)/2*9.81)</f>
        <v>0.74937145855906273</v>
      </c>
    </row>
    <row r="20" spans="7:17" ht="29.25" thickBot="1" x14ac:dyDescent="0.3">
      <c r="G20" s="29" t="s">
        <v>61</v>
      </c>
      <c r="H20" s="30" t="s">
        <v>67</v>
      </c>
      <c r="I20" s="30" t="s">
        <v>21</v>
      </c>
      <c r="J20" s="30">
        <f>J19</f>
        <v>1010</v>
      </c>
      <c r="K20" s="41">
        <f t="shared" ref="K20:K21" si="13">K19</f>
        <v>1E-3</v>
      </c>
      <c r="L20" s="41">
        <f>Tubulações!O20</f>
        <v>128.19399999999999</v>
      </c>
      <c r="M20" s="42">
        <f>Tubulações!P20</f>
        <v>6.2075815986666845</v>
      </c>
      <c r="N20" s="46">
        <f t="shared" si="0"/>
        <v>803732.46261407156</v>
      </c>
      <c r="O20" s="46" t="str">
        <f t="shared" ref="O20" si="14">IF(N20&lt;=2100, "Laminar", IF(N20&lt;4000, "Transição", "Turbulento"))</f>
        <v>Turbulento</v>
      </c>
      <c r="P20" s="47">
        <f>IF(N20&lt;=2100, 64/N20, 0.25 / (LOG10(((Tubulações!N20)/L20)/3.7 + 5.74/(N20^0.9)))^2)</f>
        <v>1.2053695103387711E-2</v>
      </c>
      <c r="Q20" s="47">
        <f>P20*(Tubulações!K20/L20)*((M20^2)/2*9.81)</f>
        <v>3.554400689246693E-2</v>
      </c>
    </row>
    <row r="21" spans="7:17" ht="29.25" thickBot="1" x14ac:dyDescent="0.3">
      <c r="G21" s="43" t="s">
        <v>62</v>
      </c>
      <c r="H21" s="44" t="s">
        <v>68</v>
      </c>
      <c r="I21" s="44" t="s">
        <v>1</v>
      </c>
      <c r="J21" s="44">
        <f>J20</f>
        <v>1010</v>
      </c>
      <c r="K21" s="44">
        <f t="shared" si="13"/>
        <v>1E-3</v>
      </c>
      <c r="L21" s="44">
        <f>Tubulações!O21</f>
        <v>128.19399999999999</v>
      </c>
      <c r="M21" s="45">
        <f>Tubulações!P21</f>
        <v>6.2075815986666845</v>
      </c>
      <c r="N21" s="48">
        <f t="shared" si="0"/>
        <v>803732.46261407156</v>
      </c>
      <c r="O21" s="48" t="str">
        <f t="shared" ref="O21" si="15">IF(N21&lt;=2100, "Laminar", IF(N21&lt;4000, "Transição", "Turbulento"))</f>
        <v>Turbulento</v>
      </c>
      <c r="P21" s="51">
        <f>IF(N21&lt;=2100, 64/N21, 0.25 / (LOG10(((Tubulações!N21)/L21)/3.7 + 5.74/(N21^0.9)))^2)</f>
        <v>1.2053695103387711E-2</v>
      </c>
      <c r="Q21" s="51">
        <f>P21*(Tubulações!K21/L21)*((M21^2)/2*9.81)</f>
        <v>3.554400689246693E-2</v>
      </c>
    </row>
  </sheetData>
  <phoneticPr fontId="3" type="noConversion"/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0B8F8-3D04-4E25-8688-21AEF752640C}">
  <dimension ref="A1"/>
  <sheetViews>
    <sheetView showGridLines="0" workbookViewId="0">
      <selection activeCell="J27" sqref="J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BD954-AFC8-4A5F-ABB9-F1A7F09EB32A}">
  <dimension ref="G6:L14"/>
  <sheetViews>
    <sheetView showGridLines="0" workbookViewId="0">
      <selection activeCell="M7" sqref="M7"/>
    </sheetView>
  </sheetViews>
  <sheetFormatPr defaultRowHeight="15" x14ac:dyDescent="0.25"/>
  <cols>
    <col min="7" max="7" width="18" bestFit="1" customWidth="1"/>
    <col min="11" max="11" width="21.28515625" bestFit="1" customWidth="1"/>
    <col min="12" max="13" width="14.7109375" bestFit="1" customWidth="1"/>
  </cols>
  <sheetData>
    <row r="6" spans="7:12" x14ac:dyDescent="0.25">
      <c r="G6" t="s">
        <v>70</v>
      </c>
      <c r="H6" t="s">
        <v>84</v>
      </c>
      <c r="K6" t="s">
        <v>77</v>
      </c>
      <c r="L6" t="s">
        <v>85</v>
      </c>
    </row>
    <row r="7" spans="7:12" x14ac:dyDescent="0.25">
      <c r="G7" t="s">
        <v>71</v>
      </c>
      <c r="H7">
        <v>5</v>
      </c>
      <c r="K7" t="s">
        <v>78</v>
      </c>
      <c r="L7">
        <v>0.5</v>
      </c>
    </row>
    <row r="8" spans="7:12" x14ac:dyDescent="0.25">
      <c r="G8" t="s">
        <v>72</v>
      </c>
      <c r="H8">
        <v>5</v>
      </c>
      <c r="K8" t="s">
        <v>79</v>
      </c>
      <c r="L8">
        <v>0.5</v>
      </c>
    </row>
    <row r="9" spans="7:12" x14ac:dyDescent="0.25">
      <c r="G9" t="s">
        <v>73</v>
      </c>
      <c r="H9">
        <v>5</v>
      </c>
      <c r="K9" t="s">
        <v>80</v>
      </c>
      <c r="L9">
        <v>0.5</v>
      </c>
    </row>
    <row r="10" spans="7:12" x14ac:dyDescent="0.25">
      <c r="G10" t="s">
        <v>74</v>
      </c>
      <c r="H10">
        <v>5</v>
      </c>
      <c r="K10" t="s">
        <v>81</v>
      </c>
      <c r="L10">
        <v>0.5</v>
      </c>
    </row>
    <row r="11" spans="7:12" x14ac:dyDescent="0.25">
      <c r="G11" t="s">
        <v>6</v>
      </c>
      <c r="H11">
        <v>12</v>
      </c>
      <c r="K11" t="s">
        <v>82</v>
      </c>
      <c r="L11">
        <v>0.5</v>
      </c>
    </row>
    <row r="12" spans="7:12" x14ac:dyDescent="0.25">
      <c r="G12" t="s">
        <v>35</v>
      </c>
      <c r="H12">
        <v>15</v>
      </c>
      <c r="K12" t="s">
        <v>83</v>
      </c>
      <c r="L12">
        <v>0.25</v>
      </c>
    </row>
    <row r="13" spans="7:12" x14ac:dyDescent="0.25">
      <c r="G13" t="s">
        <v>75</v>
      </c>
      <c r="H13">
        <v>5</v>
      </c>
    </row>
    <row r="14" spans="7:12" x14ac:dyDescent="0.25">
      <c r="G14" t="s">
        <v>76</v>
      </c>
      <c r="H14">
        <v>10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E9BBF-93D2-4538-8457-61CF194380E3}">
  <dimension ref="G5:M9"/>
  <sheetViews>
    <sheetView showGridLines="0" topLeftCell="E1" workbookViewId="0">
      <selection activeCell="H1" sqref="H1"/>
    </sheetView>
  </sheetViews>
  <sheetFormatPr defaultRowHeight="15" x14ac:dyDescent="0.25"/>
  <cols>
    <col min="7" max="7" width="17.28515625" customWidth="1"/>
    <col min="8" max="8" width="13.85546875" customWidth="1"/>
    <col min="9" max="9" width="11.7109375" customWidth="1"/>
  </cols>
  <sheetData>
    <row r="5" spans="7:13" ht="15.75" thickBot="1" x14ac:dyDescent="0.3"/>
    <row r="6" spans="7:13" ht="60.75" thickBot="1" x14ac:dyDescent="0.3">
      <c r="G6" s="1" t="s">
        <v>22</v>
      </c>
      <c r="H6" s="1" t="s">
        <v>23</v>
      </c>
      <c r="I6" s="1" t="s">
        <v>7</v>
      </c>
      <c r="J6" s="1" t="s">
        <v>11</v>
      </c>
      <c r="K6" s="1" t="s">
        <v>24</v>
      </c>
      <c r="L6" s="1" t="s">
        <v>25</v>
      </c>
      <c r="M6" s="2" t="s">
        <v>26</v>
      </c>
    </row>
    <row r="7" spans="7:13" ht="29.25" thickBot="1" x14ac:dyDescent="0.3">
      <c r="G7" s="1" t="s">
        <v>27</v>
      </c>
      <c r="H7" s="3" t="s">
        <v>28</v>
      </c>
      <c r="I7" s="3" t="s">
        <v>29</v>
      </c>
      <c r="J7" s="3" t="s">
        <v>30</v>
      </c>
      <c r="K7" s="3" t="s">
        <v>30</v>
      </c>
      <c r="L7" s="3" t="s">
        <v>30</v>
      </c>
      <c r="M7" s="4" t="s">
        <v>31</v>
      </c>
    </row>
    <row r="8" spans="7:13" ht="29.25" thickBot="1" x14ac:dyDescent="0.3">
      <c r="G8" s="1" t="s">
        <v>32</v>
      </c>
      <c r="H8" s="3" t="s">
        <v>33</v>
      </c>
      <c r="I8" s="3" t="s">
        <v>8</v>
      </c>
      <c r="J8" s="3" t="s">
        <v>30</v>
      </c>
      <c r="K8" s="3" t="s">
        <v>30</v>
      </c>
      <c r="L8" s="3" t="s">
        <v>30</v>
      </c>
      <c r="M8" s="4" t="s">
        <v>34</v>
      </c>
    </row>
    <row r="9" spans="7:13" ht="29.25" thickBot="1" x14ac:dyDescent="0.3">
      <c r="G9" s="1" t="s">
        <v>19</v>
      </c>
      <c r="H9" s="3" t="s">
        <v>35</v>
      </c>
      <c r="I9" s="3" t="s">
        <v>36</v>
      </c>
      <c r="J9" s="3" t="s">
        <v>30</v>
      </c>
      <c r="K9" s="3" t="s">
        <v>9</v>
      </c>
      <c r="L9" s="3" t="s">
        <v>9</v>
      </c>
      <c r="M9" s="4" t="s">
        <v>37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BM</vt:lpstr>
      <vt:lpstr>Propriedades dos Fluidos</vt:lpstr>
      <vt:lpstr>Coluna de Absorção</vt:lpstr>
      <vt:lpstr>Tubulações</vt:lpstr>
      <vt:lpstr>Tubulações (2)</vt:lpstr>
      <vt:lpstr>Cálculos</vt:lpstr>
      <vt:lpstr>Equipamentos</vt:lpstr>
      <vt:lpstr>Estimativas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DE SOUZA MIRANDA</dc:creator>
  <cp:lastModifiedBy>Gabriel Miranda</cp:lastModifiedBy>
  <dcterms:created xsi:type="dcterms:W3CDTF">2026-05-10T08:48:25Z</dcterms:created>
  <dcterms:modified xsi:type="dcterms:W3CDTF">2026-05-13T06:45:37Z</dcterms:modified>
</cp:coreProperties>
</file>