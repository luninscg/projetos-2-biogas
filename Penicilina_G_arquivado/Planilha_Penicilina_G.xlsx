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PROJETOS 2\"/>
    </mc:Choice>
  </mc:AlternateContent>
  <xr:revisionPtr revIDLastSave="0" documentId="8_{7BC7E6CF-9AA4-4F6C-B5EA-B95303924D52}" xr6:coauthVersionLast="45" xr6:coauthVersionMax="45" xr10:uidLastSave="{00000000-0000-0000-0000-000000000000}"/>
  <bookViews>
    <workbookView xWindow="2580" yWindow="2580" windowWidth="17280" windowHeight="8880" xr2:uid="{34D724E6-68CD-4C0C-9F8A-75A2040EA601}"/>
  </bookViews>
  <sheets>
    <sheet name="Premissas" sheetId="16" r:id="rId1"/>
    <sheet name="Calculos_Produto" sheetId="15" r:id="rId2"/>
    <sheet name="Recuperacoes" sheetId="14" r:id="rId3"/>
    <sheet name="Fermentacao" sheetId="13" r:id="rId4"/>
    <sheet name="Correntes_PFD" sheetId="12" r:id="rId5"/>
    <sheet name="Balanco_Energia" sheetId="11" r:id="rId6"/>
    <sheet name="Secagem" sheetId="10" r:id="rId7"/>
    <sheet name="Verificacoes" sheetId="9" r:id="rId8"/>
    <sheet name="Dicionario_Variaveis" sheetId="8" r:id="rId9"/>
    <sheet name="Conceitos" sheetId="7" r:id="rId10"/>
    <sheet name="Utilidades" sheetId="6" r:id="rId11"/>
    <sheet name="Custos" sheetId="5" r:id="rId12"/>
    <sheet name="PFD_Visual" sheetId="4" r:id="rId13"/>
    <sheet name="Resumo_Executivo" sheetId="3" r:id="rId14"/>
    <sheet name="KPIs" sheetId="2" r:id="rId15"/>
    <sheet name="Dashboard" sheetId="1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" i="1" l="1"/>
  <c r="U14" i="1"/>
  <c r="U13" i="1"/>
  <c r="U12" i="1"/>
  <c r="U11" i="1"/>
  <c r="U10" i="1"/>
  <c r="U7" i="1"/>
  <c r="U6" i="1"/>
  <c r="U5" i="1"/>
  <c r="U4" i="1"/>
  <c r="U3" i="1"/>
  <c r="U2" i="1"/>
  <c r="A18" i="1"/>
  <c r="A17" i="1"/>
  <c r="A16" i="1"/>
  <c r="A15" i="1"/>
  <c r="R5" i="1"/>
  <c r="R4" i="1"/>
  <c r="R3" i="1"/>
  <c r="R2" i="1"/>
  <c r="M9" i="1"/>
  <c r="I9" i="1"/>
  <c r="E9" i="1"/>
  <c r="A9" i="1"/>
  <c r="M4" i="1"/>
  <c r="I4" i="1"/>
  <c r="E4" i="1"/>
  <c r="A4" i="1"/>
  <c r="A21" i="3"/>
  <c r="A20" i="3"/>
  <c r="A19" i="3"/>
  <c r="A18" i="3"/>
  <c r="A17" i="3"/>
  <c r="D13" i="3"/>
  <c r="C13" i="3"/>
  <c r="D12" i="3"/>
  <c r="C12" i="3"/>
  <c r="D11" i="3"/>
  <c r="C11" i="3"/>
  <c r="C10" i="3"/>
  <c r="C9" i="3"/>
  <c r="C8" i="3"/>
  <c r="C7" i="3"/>
  <c r="C6" i="3"/>
  <c r="C5" i="3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G14" i="5"/>
  <c r="G13" i="5"/>
  <c r="G11" i="5"/>
  <c r="E11" i="5"/>
  <c r="C11" i="5"/>
  <c r="G10" i="5"/>
  <c r="E10" i="5"/>
  <c r="C10" i="5"/>
  <c r="G9" i="5"/>
  <c r="E9" i="5"/>
  <c r="C9" i="5"/>
  <c r="G8" i="5"/>
  <c r="E8" i="5"/>
  <c r="C8" i="5"/>
  <c r="G7" i="5"/>
  <c r="E7" i="5"/>
  <c r="C7" i="5"/>
  <c r="G6" i="5"/>
  <c r="E6" i="5"/>
  <c r="C6" i="5"/>
  <c r="G5" i="5"/>
  <c r="E5" i="5"/>
  <c r="C5" i="5"/>
  <c r="G12" i="6"/>
  <c r="G10" i="6"/>
  <c r="E10" i="6"/>
  <c r="C10" i="6"/>
  <c r="G9" i="6"/>
  <c r="E9" i="6"/>
  <c r="C9" i="6"/>
  <c r="G8" i="6"/>
  <c r="E8" i="6"/>
  <c r="C8" i="6"/>
  <c r="G7" i="6"/>
  <c r="E7" i="6"/>
  <c r="C7" i="6"/>
  <c r="G6" i="6"/>
  <c r="E6" i="6"/>
  <c r="C6" i="6"/>
  <c r="G5" i="6"/>
  <c r="E5" i="6"/>
  <c r="C5" i="6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B10" i="10"/>
  <c r="B9" i="10"/>
  <c r="B8" i="10"/>
  <c r="G13" i="12" s="1"/>
  <c r="B7" i="10"/>
  <c r="B6" i="10"/>
  <c r="B5" i="10"/>
  <c r="B4" i="10"/>
  <c r="B11" i="11"/>
  <c r="B10" i="11"/>
  <c r="G8" i="11"/>
  <c r="H8" i="11" s="1"/>
  <c r="B8" i="11"/>
  <c r="H7" i="11"/>
  <c r="F7" i="11"/>
  <c r="E7" i="11"/>
  <c r="D7" i="11"/>
  <c r="C7" i="11"/>
  <c r="B7" i="11"/>
  <c r="H6" i="11"/>
  <c r="B6" i="11"/>
  <c r="H5" i="11"/>
  <c r="F5" i="11"/>
  <c r="E5" i="11"/>
  <c r="D5" i="11"/>
  <c r="C5" i="11"/>
  <c r="B5" i="11"/>
  <c r="H4" i="11"/>
  <c r="F4" i="11"/>
  <c r="E4" i="11"/>
  <c r="D4" i="11"/>
  <c r="C4" i="11"/>
  <c r="B4" i="11"/>
  <c r="D15" i="12"/>
  <c r="C15" i="12"/>
  <c r="G14" i="12"/>
  <c r="C14" i="12"/>
  <c r="D13" i="12"/>
  <c r="C13" i="12"/>
  <c r="G12" i="12"/>
  <c r="D12" i="12"/>
  <c r="C12" i="12"/>
  <c r="D11" i="12"/>
  <c r="D10" i="12"/>
  <c r="G9" i="12"/>
  <c r="D9" i="12"/>
  <c r="C9" i="12"/>
  <c r="G8" i="12"/>
  <c r="F8" i="12"/>
  <c r="D8" i="12"/>
  <c r="C8" i="12"/>
  <c r="F7" i="12"/>
  <c r="C7" i="12"/>
  <c r="G6" i="12"/>
  <c r="D6" i="12"/>
  <c r="C6" i="12"/>
  <c r="G5" i="12"/>
  <c r="E5" i="12"/>
  <c r="D5" i="12"/>
  <c r="C5" i="12"/>
  <c r="G4" i="12"/>
  <c r="E4" i="12"/>
  <c r="D4" i="12"/>
  <c r="C4" i="12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F9" i="14"/>
  <c r="E9" i="14"/>
  <c r="D9" i="14"/>
  <c r="C9" i="14"/>
  <c r="B9" i="14"/>
  <c r="F8" i="14"/>
  <c r="E8" i="14"/>
  <c r="D8" i="14"/>
  <c r="C8" i="14"/>
  <c r="B8" i="14"/>
  <c r="F7" i="14"/>
  <c r="E7" i="14"/>
  <c r="D7" i="14"/>
  <c r="C7" i="14"/>
  <c r="B7" i="14"/>
  <c r="F6" i="14"/>
  <c r="E6" i="14"/>
  <c r="D6" i="14"/>
  <c r="C6" i="14"/>
  <c r="B6" i="14"/>
  <c r="F5" i="14"/>
  <c r="E5" i="14"/>
  <c r="D5" i="14"/>
  <c r="C5" i="14"/>
  <c r="B5" i="14"/>
  <c r="F4" i="14"/>
  <c r="E4" i="14"/>
  <c r="D4" i="14"/>
  <c r="B4" i="14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</calcChain>
</file>

<file path=xl/sharedStrings.xml><?xml version="1.0" encoding="utf-8"?>
<sst xmlns="http://schemas.openxmlformats.org/spreadsheetml/2006/main" count="902" uniqueCount="653">
  <si>
    <t>Premissas do modelo - Penicilina G</t>
  </si>
  <si>
    <t>Parametro</t>
  </si>
  <si>
    <t>Valor</t>
  </si>
  <si>
    <t>Unidade</t>
  </si>
  <si>
    <t>Observacao</t>
  </si>
  <si>
    <t>Produto final seco</t>
  </si>
  <si>
    <t>kg</t>
  </si>
  <si>
    <t>Base de calculo</t>
  </si>
  <si>
    <t>eta_sep</t>
  </si>
  <si>
    <t>-</t>
  </si>
  <si>
    <t>Recuperacao na remocao de biomassa</t>
  </si>
  <si>
    <t>eta_ext1</t>
  </si>
  <si>
    <t>Recuperacao na extracao primaria</t>
  </si>
  <si>
    <t>eta_ext2</t>
  </si>
  <si>
    <t>Recuperacao na reextracao/purificacao</t>
  </si>
  <si>
    <t>eta_crist</t>
  </si>
  <si>
    <t>Recuperacao na cristalizacao/filtracao</t>
  </si>
  <si>
    <t>eta_dry</t>
  </si>
  <si>
    <t>Recuperacao na secagem/manuseio</t>
  </si>
  <si>
    <t>Titulo de penicilina no caldo</t>
  </si>
  <si>
    <t>kg/m3</t>
  </si>
  <si>
    <t>Faixa tipica industrial</t>
  </si>
  <si>
    <t>Densidade do caldo</t>
  </si>
  <si>
    <t>Premissa conceitual</t>
  </si>
  <si>
    <t>Biomassa seca no caldo</t>
  </si>
  <si>
    <t>Umidade do bolo final</t>
  </si>
  <si>
    <t>fracao</t>
  </si>
  <si>
    <t>Antes da secagem</t>
  </si>
  <si>
    <t>Umidade residual final</t>
  </si>
  <si>
    <t>Produto final</t>
  </si>
  <si>
    <t>Temperatura inicial</t>
  </si>
  <si>
    <t>degC</t>
  </si>
  <si>
    <t>Meio antes da esterilizacao</t>
  </si>
  <si>
    <t>Temperatura de esterilizacao</t>
  </si>
  <si>
    <t>Esterilizacao do meio</t>
  </si>
  <si>
    <t>Temperatura de extracao</t>
  </si>
  <si>
    <t>Caldo resfriado</t>
  </si>
  <si>
    <t>Cp do caldo</t>
  </si>
  <si>
    <t>kJ/kg.K</t>
  </si>
  <si>
    <t>Premissa media</t>
  </si>
  <si>
    <t>Cp do solido umido</t>
  </si>
  <si>
    <t>Calor latente util do vapor</t>
  </si>
  <si>
    <t>kJ/kg</t>
  </si>
  <si>
    <t>Vapor util</t>
  </si>
  <si>
    <t>Entalpia de evaporacao na secagem</t>
  </si>
  <si>
    <t>Aproximacao</t>
  </si>
  <si>
    <t>Calor de fermentacao especifico</t>
  </si>
  <si>
    <t>kJ/kg produto</t>
  </si>
  <si>
    <t>Remocao no fermentador</t>
  </si>
  <si>
    <t>Eficiencia util do vapor</t>
  </si>
  <si>
    <t>Aquecimento util</t>
  </si>
  <si>
    <t>Fracao solida da torta de biomassa</t>
  </si>
  <si>
    <t>Separacao solido-liquido</t>
  </si>
  <si>
    <t>Relacao solvente/filtrado</t>
  </si>
  <si>
    <t>kg/kg</t>
  </si>
  <si>
    <t>Extracao primaria</t>
  </si>
  <si>
    <t>Fracao de arraste aquoso no extrato</t>
  </si>
  <si>
    <t>Rendimento produto/substrato Yp/s</t>
  </si>
  <si>
    <t>Glicose equivalente</t>
  </si>
  <si>
    <t>Excesso de PAA</t>
  </si>
  <si>
    <t>Precursor</t>
  </si>
  <si>
    <t>Duracao da fermentacao</t>
  </si>
  <si>
    <t>h</t>
  </si>
  <si>
    <t>Campanha conceitual</t>
  </si>
  <si>
    <t>Fracao molar de O2 no ar</t>
  </si>
  <si>
    <t>Ar seco</t>
  </si>
  <si>
    <t>Volume molar normal</t>
  </si>
  <si>
    <t>Nm3/kmol</t>
  </si>
  <si>
    <t>Condicoes normais</t>
  </si>
  <si>
    <t>MM Penicilina G</t>
  </si>
  <si>
    <t>kg/kmol</t>
  </si>
  <si>
    <t>Massa molar</t>
  </si>
  <si>
    <t>MM biomassa empirica</t>
  </si>
  <si>
    <t>CH1.8O0.5N0.2</t>
  </si>
  <si>
    <t>MM glicose equivalente</t>
  </si>
  <si>
    <t>Base padrao</t>
  </si>
  <si>
    <t>MM acido fenilacetico</t>
  </si>
  <si>
    <t>PAA</t>
  </si>
  <si>
    <t>MM amonia</t>
  </si>
  <si>
    <t>Equivalente</t>
  </si>
  <si>
    <t>MM enxofre</t>
  </si>
  <si>
    <t>Elemento</t>
  </si>
  <si>
    <t>MM oxigenio</t>
  </si>
  <si>
    <t>O2</t>
  </si>
  <si>
    <t>MM CO2</t>
  </si>
  <si>
    <t>Dioxido de carbono</t>
  </si>
  <si>
    <t>MM ar seco</t>
  </si>
  <si>
    <t>Recuperacao de solvente</t>
  </si>
  <si>
    <t>Fracao reciclada; custo incide so no make-up</t>
  </si>
  <si>
    <t>Preco glicose equivalente</t>
  </si>
  <si>
    <t>R$/kg</t>
  </si>
  <si>
    <t>Premissa economica editavel</t>
  </si>
  <si>
    <t>Preco PAA</t>
  </si>
  <si>
    <t>Preco NH3 equivalente</t>
  </si>
  <si>
    <t>Preco acetato de butila</t>
  </si>
  <si>
    <t>Preco vapor</t>
  </si>
  <si>
    <t>DeltaT agua de resfriamento</t>
  </si>
  <si>
    <t>Aproximacao para utilidades</t>
  </si>
  <si>
    <t>Preco agua de resfriamento</t>
  </si>
  <si>
    <t>R$/m3</t>
  </si>
  <si>
    <t>DeltaT agua gelada</t>
  </si>
  <si>
    <t>Preco frio industrial</t>
  </si>
  <si>
    <t>R$/MJ</t>
  </si>
  <si>
    <t>Preco eletricidade</t>
  </si>
  <si>
    <t>R$/kWh</t>
  </si>
  <si>
    <t>Potencia especifica soprador</t>
  </si>
  <si>
    <t>kWh/1000 Nm3</t>
  </si>
  <si>
    <t>Estimativa conceitual</t>
  </si>
  <si>
    <t>Potencia especifica agitacao</t>
  </si>
  <si>
    <t>kW/m3</t>
  </si>
  <si>
    <t>Preco descarte de biomassa umida</t>
  </si>
  <si>
    <t>Preco tratamento efluente liquido</t>
  </si>
  <si>
    <t>Calculos principais do produto</t>
  </si>
  <si>
    <t>Descricao</t>
  </si>
  <si>
    <t>eta_global</t>
  </si>
  <si>
    <t>Penicilina no caldo, kg</t>
  </si>
  <si>
    <t>Volume de caldo, m3</t>
  </si>
  <si>
    <t>Massa de caldo, kg</t>
  </si>
  <si>
    <t>Biomassa seca, kg</t>
  </si>
  <si>
    <t>Torta umida removida, kg</t>
  </si>
  <si>
    <t>Agua arrastada na torta, kg</t>
  </si>
  <si>
    <t>Liquido clarificado para extracao, kg</t>
  </si>
  <si>
    <t>Penicilina apos separacao, kg</t>
  </si>
  <si>
    <t>Penicilina apos extracao primaria, kg</t>
  </si>
  <si>
    <t>Penicilina apos reextracao, kg</t>
  </si>
  <si>
    <t>Penicilina apos cristalizacao, kg</t>
  </si>
  <si>
    <t>Produto final calculado, kg</t>
  </si>
  <si>
    <t>Perda total de produto, kg</t>
  </si>
  <si>
    <t>Recuperacoes por etapa</t>
  </si>
  <si>
    <t>Etapa</t>
  </si>
  <si>
    <t>Produto entrada (kg)</t>
  </si>
  <si>
    <t>Eficiencia</t>
  </si>
  <si>
    <t>Produto saida (kg)</t>
  </si>
  <si>
    <t>Perda (kg)</t>
  </si>
  <si>
    <t>Perda acumulada (kg)</t>
  </si>
  <si>
    <t>Caldo fermentado</t>
  </si>
  <si>
    <t>Separacao de biomassa</t>
  </si>
  <si>
    <t>Reextracao/purificacao</t>
  </si>
  <si>
    <t>Cristalizacao/filtracao</t>
  </si>
  <si>
    <t>Secagem final</t>
  </si>
  <si>
    <t>Fermentacao pseudoestequiometrica</t>
  </si>
  <si>
    <t>Grandeza</t>
  </si>
  <si>
    <t>n_pen, kmol</t>
  </si>
  <si>
    <t>n_biomassa, kmol</t>
  </si>
  <si>
    <t>Substrato equivalente consumido, kg</t>
  </si>
  <si>
    <t>Substrato equivalente, kmol</t>
  </si>
  <si>
    <t>Yx/s, kg/kg</t>
  </si>
  <si>
    <t>n_PAA, kmol</t>
  </si>
  <si>
    <t>m_PAA, kg</t>
  </si>
  <si>
    <t>n_N biomassa, kmol</t>
  </si>
  <si>
    <t>n_N penicilina, kmol</t>
  </si>
  <si>
    <t>n_N total, kmol</t>
  </si>
  <si>
    <t>NH3 equivalente, kg</t>
  </si>
  <si>
    <t>n_S penicilina, kmol</t>
  </si>
  <si>
    <t>Enxofre equivalente, kg</t>
  </si>
  <si>
    <t>n_C no substrato, kmol</t>
  </si>
  <si>
    <t>n_C na biomassa, kmol</t>
  </si>
  <si>
    <t>n_C na penicilina, kmol</t>
  </si>
  <si>
    <t>n_CO2 gerado, kmol</t>
  </si>
  <si>
    <t>m_CO2 gerado, kg</t>
  </si>
  <si>
    <t>n_H2O gerada, kmol</t>
  </si>
  <si>
    <t>m_H2O gerada, kg</t>
  </si>
  <si>
    <t>n_O2 consumido, kmol</t>
  </si>
  <si>
    <t>m_O2 consumido, kg</t>
  </si>
  <si>
    <t>n_ar total, kmol</t>
  </si>
  <si>
    <t>Ar total, Nm3</t>
  </si>
  <si>
    <t>Massa de ar, kg</t>
  </si>
  <si>
    <t>Vazao media de ar, Nm3/h</t>
  </si>
  <si>
    <t>vvm medio</t>
  </si>
  <si>
    <t>Tabela de correntes - PFD</t>
  </si>
  <si>
    <t>Corrente</t>
  </si>
  <si>
    <t>Massa total (kg)</t>
  </si>
  <si>
    <t>Penicilina (kg)</t>
  </si>
  <si>
    <t>Biomassa (kg)</t>
  </si>
  <si>
    <t>Solvente (kg)</t>
  </si>
  <si>
    <t>Agua + outros (kg)</t>
  </si>
  <si>
    <t>Saida do fermentador</t>
  </si>
  <si>
    <t>Torta de biomassa</t>
  </si>
  <si>
    <t>Remocao de biomassa</t>
  </si>
  <si>
    <t>Filtrado clarificado</t>
  </si>
  <si>
    <t>Segue para extracao</t>
  </si>
  <si>
    <t>Solvente para extracao</t>
  </si>
  <si>
    <t>Acetato de butila</t>
  </si>
  <si>
    <t>Extrato organico</t>
  </si>
  <si>
    <t>Fase organica rica</t>
  </si>
  <si>
    <t>Rafinado aquoso</t>
  </si>
  <si>
    <t>Fase aquosa</t>
  </si>
  <si>
    <t>Solucao purificada</t>
  </si>
  <si>
    <t>Carga para cristalizacao</t>
  </si>
  <si>
    <t>Licor mae / perdas</t>
  </si>
  <si>
    <t>Perda na cristalizacao</t>
  </si>
  <si>
    <t>Cristais umidos</t>
  </si>
  <si>
    <t>Entrada do secador</t>
  </si>
  <si>
    <t>Produto seco</t>
  </si>
  <si>
    <t>Agua evaporada</t>
  </si>
  <si>
    <t>Saida do secador</t>
  </si>
  <si>
    <t>Perda de penicilina na secagem</t>
  </si>
  <si>
    <t>Perda de manuseio/secagem</t>
  </si>
  <si>
    <t>Balanco de energia</t>
  </si>
  <si>
    <t>Massa (kg)</t>
  </si>
  <si>
    <t>Cp</t>
  </si>
  <si>
    <t>Tin</t>
  </si>
  <si>
    <t>Tout</t>
  </si>
  <si>
    <t>Q sensivel (kJ)</t>
  </si>
  <si>
    <t>Q latente (kJ)</t>
  </si>
  <si>
    <t>Q total (kJ)</t>
  </si>
  <si>
    <t>Tipo</t>
  </si>
  <si>
    <t>Esterilizacao</t>
  </si>
  <si>
    <t>Aquecimento</t>
  </si>
  <si>
    <t>Resfriamento pos-esterilizacao</t>
  </si>
  <si>
    <t>Resfriamento</t>
  </si>
  <si>
    <t>Calor da fermentacao</t>
  </si>
  <si>
    <t>Resfriamento para extracao</t>
  </si>
  <si>
    <t>Secagem</t>
  </si>
  <si>
    <t>Vapor teorico, kg</t>
  </si>
  <si>
    <t>Vapor real, kg</t>
  </si>
  <si>
    <t>Calculos da secagem</t>
  </si>
  <si>
    <t>Solido seco antes do secador, kg</t>
  </si>
  <si>
    <t>Massa total do bolo, kg</t>
  </si>
  <si>
    <t>Agua no bolo, kg</t>
  </si>
  <si>
    <t>Massa final umida, kg</t>
  </si>
  <si>
    <t>Agua final residual, kg</t>
  </si>
  <si>
    <t>Agua evaporada, kg</t>
  </si>
  <si>
    <t>Carga de secagem, kJ</t>
  </si>
  <si>
    <t>Verificacoes de consistencia</t>
  </si>
  <si>
    <t>Verificacao</t>
  </si>
  <si>
    <t>Como foi checado</t>
  </si>
  <si>
    <t>Residual</t>
  </si>
  <si>
    <t>Leitura</t>
  </si>
  <si>
    <t>Fechamento do produto final</t>
  </si>
  <si>
    <t>Produto calculado - produto alvo</t>
  </si>
  <si>
    <t>Fechamento de recuperacoes</t>
  </si>
  <si>
    <t>Produto final + perdas - produto no caldo</t>
  </si>
  <si>
    <t>Fechamento massa na separacao</t>
  </si>
  <si>
    <t>Corrente 101 - 102 - 103</t>
  </si>
  <si>
    <t>Fechamento massa na extracao</t>
  </si>
  <si>
    <t>Corrente 103 + 104 - 105 - 106</t>
  </si>
  <si>
    <t>Fechamento total na secagem</t>
  </si>
  <si>
    <t>Corrente 109 - 110 - 111 - 112</t>
  </si>
  <si>
    <t>Fechamento de solido na secagem</t>
  </si>
  <si>
    <t>Penicilina em 109 - 110 - 112</t>
  </si>
  <si>
    <t>Fechamento de agua na secagem</t>
  </si>
  <si>
    <t>Agua em 109 - 110 - 111</t>
  </si>
  <si>
    <t>Fechamento de carbono na fermentacao</t>
  </si>
  <si>
    <t>C alimentado - C em biomassa - C em penicilina - C em CO2</t>
  </si>
  <si>
    <t>kmol C</t>
  </si>
  <si>
    <t>Fechamento de vapor</t>
  </si>
  <si>
    <t>Vapor real - vapor teorico/eficiencia</t>
  </si>
  <si>
    <t>Dicionario de variaveis</t>
  </si>
  <si>
    <t>Esta aba explica o significado fisico, a unidade e o papel de cada variavel principal da planilha.</t>
  </si>
  <si>
    <t>Variavel</t>
  </si>
  <si>
    <t>Nome simples</t>
  </si>
  <si>
    <t>Definicao didatica</t>
  </si>
  <si>
    <t>Formula ou origem</t>
  </si>
  <si>
    <t>Onde aparece</t>
  </si>
  <si>
    <t>Por que importa</t>
  </si>
  <si>
    <t>P_final</t>
  </si>
  <si>
    <t>Massa de penicilina seca que se deseja obter ao final da campanha.</t>
  </si>
  <si>
    <t>Premissa de projeto</t>
  </si>
  <si>
    <t>Premissas, KPIs, Dashboard</t>
  </si>
  <si>
    <t>Define toda a escala do estudo.</t>
  </si>
  <si>
    <t>Recuperacao na separacao</t>
  </si>
  <si>
    <t>Fracao de penicilina que continua no liquido apos remover a biomassa.</t>
  </si>
  <si>
    <t>Premissa</t>
  </si>
  <si>
    <t>Premissas, Recuperacoes</t>
  </si>
  <si>
    <t>Mostra quanto produto se perde com a torta de biomassa.</t>
  </si>
  <si>
    <t>Fracao de penicilina transferida da fase aquosa para o solvente na primeira extracao.</t>
  </si>
  <si>
    <t>Afeta fortemente a perda no downstream.</t>
  </si>
  <si>
    <t>Recuperacao na purificacao</t>
  </si>
  <si>
    <t>Fracao de penicilina preservada na reextracao e purificacao.</t>
  </si>
  <si>
    <t>Representa o desempenho da etapa de limpeza do produto.</t>
  </si>
  <si>
    <t>Recuperacao na cristalizacao</t>
  </si>
  <si>
    <t>Fracao de penicilina que efetivamente vira cristal recuperavel.</t>
  </si>
  <si>
    <t>Indica a eficiencia da etapa que transforma soluto em cristais.</t>
  </si>
  <si>
    <t>Recuperacao na secagem</t>
  </si>
  <si>
    <t>Fracao de penicilina mantida apos secagem e manuseio final.</t>
  </si>
  <si>
    <t>Premissas, Recuperacoes, Correntes_PFD</t>
  </si>
  <si>
    <t>Captura perdas finais de produto.</t>
  </si>
  <si>
    <t>C_penic</t>
  </si>
  <si>
    <t>Titulo no caldo</t>
  </si>
  <si>
    <t>Concentracao de penicilina no caldo fermentado.</t>
  </si>
  <si>
    <t>Premissas, Calculos_Produto</t>
  </si>
  <si>
    <t>Liga massa de produto ao volume de fermentacao.</t>
  </si>
  <si>
    <t>rho_broth</t>
  </si>
  <si>
    <t>Massa por unidade de volume do caldo fermentado.</t>
  </si>
  <si>
    <t>Permite converter volume em massa total de caldo.</t>
  </si>
  <si>
    <t>C_x</t>
  </si>
  <si>
    <t>Concentracao de biomassa</t>
  </si>
  <si>
    <t>Quantidade de biomassa seca presente por volume de caldo.</t>
  </si>
  <si>
    <t>Determina a carga de solidos que vai para a separacao.</t>
  </si>
  <si>
    <t>Xw_cake</t>
  </si>
  <si>
    <t>Umidade do bolo</t>
  </si>
  <si>
    <t>Fracao da massa do bolo que ainda e agua antes da secagem.</t>
  </si>
  <si>
    <t>Premissas, Secagem</t>
  </si>
  <si>
    <t>Define quanta agua precisa ser removida.</t>
  </si>
  <si>
    <t>Xw_final</t>
  </si>
  <si>
    <t>Umidade final</t>
  </si>
  <si>
    <t>Fracao de agua que permanece no produto final.</t>
  </si>
  <si>
    <t>Define a massa final umida do produto.</t>
  </si>
  <si>
    <t>T_in</t>
  </si>
  <si>
    <t>Temperatura do meio antes do aquecimento para esterilizacao.</t>
  </si>
  <si>
    <t>Premissas, Balanco_Energia</t>
  </si>
  <si>
    <t>Entra no calculo de aquecimento do meio.</t>
  </si>
  <si>
    <t>T_ster</t>
  </si>
  <si>
    <t>Temperatura alvo para esterilizar o meio e evitar contaminacao.</t>
  </si>
  <si>
    <t>Determina a principal carga de aquecimento.</t>
  </si>
  <si>
    <t>T_ext</t>
  </si>
  <si>
    <t>Temperatura reduzida do liquido antes da extracao com solvente.</t>
  </si>
  <si>
    <t>Afeta a demanda de resfriamento para extracao.</t>
  </si>
  <si>
    <t>Cp_broth</t>
  </si>
  <si>
    <t>Calor especifico do caldo</t>
  </si>
  <si>
    <t>Energia necessaria para aquecer 1 kg de caldo em 1 grau Celsius.</t>
  </si>
  <si>
    <t>Entra nos calculos de aquecimento e resfriamento sensivel.</t>
  </si>
  <si>
    <t>lambda_steam</t>
  </si>
  <si>
    <t>Energia entregue por cada kg de vapor util na condensacao.</t>
  </si>
  <si>
    <t>Permite converter carga termica em consumo de vapor.</t>
  </si>
  <si>
    <t>lambda_dry</t>
  </si>
  <si>
    <t>Entalpia de secagem</t>
  </si>
  <si>
    <t>Energia media para evaporar a agua removida no secador.</t>
  </si>
  <si>
    <t>Premissas, Secagem, Balanco_Energia</t>
  </si>
  <si>
    <t>Controla a carga termica da secagem.</t>
  </si>
  <si>
    <t>q_ferm</t>
  </si>
  <si>
    <t>Carga termica media gerada pela fermentacao por kg de penicilina no caldo.</t>
  </si>
  <si>
    <t>Representa a remocao de calor metabolico.</t>
  </si>
  <si>
    <t>Yp/s</t>
  </si>
  <si>
    <t>Rendimento produto/substrato</t>
  </si>
  <si>
    <t>Massa de penicilina formada por massa de glicose equivalente consumida.</t>
  </si>
  <si>
    <t>Premissas, Fermentacao</t>
  </si>
  <si>
    <t>Permite estimar consumo de substrato.</t>
  </si>
  <si>
    <t>P_broth</t>
  </si>
  <si>
    <t>Penicilina no caldo</t>
  </si>
  <si>
    <t>Massa de penicilina que precisa existir no caldo antes das perdas do downstream.</t>
  </si>
  <si>
    <t>P_final / eta_global</t>
  </si>
  <si>
    <t>Calculos_Produto, Recuperacoes</t>
  </si>
  <si>
    <t>E o elo entre meta de producao e perdas do processo.</t>
  </si>
  <si>
    <t>V_broth</t>
  </si>
  <si>
    <t>Volume de caldo</t>
  </si>
  <si>
    <t>Volume total de caldo fermentado necessario para conter a penicilina desejada.</t>
  </si>
  <si>
    <t>m3</t>
  </si>
  <si>
    <t>P_broth / C_penic</t>
  </si>
  <si>
    <t>Calculos_Produto, KPIs</t>
  </si>
  <si>
    <t>Ajuda a dimensionar fermentador e utilidades.</t>
  </si>
  <si>
    <t>M_broth</t>
  </si>
  <si>
    <t>Massa de caldo</t>
  </si>
  <si>
    <t>Massa total do caldo fermentado.</t>
  </si>
  <si>
    <t>V_broth * rho_broth</t>
  </si>
  <si>
    <t>Calculos_Produto, Balanco_Energia</t>
  </si>
  <si>
    <t>Define a carga de aquecimento e resfriamento do meio.</t>
  </si>
  <si>
    <t>M_x_dry</t>
  </si>
  <si>
    <t>Biomassa seca</t>
  </si>
  <si>
    <t>Massa seca do fungo produzida no fermentador.</t>
  </si>
  <si>
    <t>C_x * V_broth</t>
  </si>
  <si>
    <t>Calculos_Produto, Correntes_PFD</t>
  </si>
  <si>
    <t>Mostra o solido removido antes da extracao.</t>
  </si>
  <si>
    <t>M_cake_wet</t>
  </si>
  <si>
    <t>Torta umida</t>
  </si>
  <si>
    <t>Massa total da torta retirada no filtro ou centrifuga.</t>
  </si>
  <si>
    <t>M_x_dry / fracao solida</t>
  </si>
  <si>
    <t>Quantifica solidos mais agua arrastada.</t>
  </si>
  <si>
    <t>M_liq_ext</t>
  </si>
  <si>
    <t>Liquido para extracao</t>
  </si>
  <si>
    <t>Massa liquida que segue para a extracao apos retirar a torta de biomassa.</t>
  </si>
  <si>
    <t>M_broth - M_cake_wet</t>
  </si>
  <si>
    <t>Base para solvente, resfriamento e correntes da extracao.</t>
  </si>
  <si>
    <t>Q_ster</t>
  </si>
  <si>
    <t>Carga de esterilizacao</t>
  </si>
  <si>
    <t>Energia sensivel para aquecer o meio da temperatura inicial ate a de esterilizacao.</t>
  </si>
  <si>
    <t>kJ</t>
  </si>
  <si>
    <t>M_broth * Cp_broth * (T_ster - T_in)</t>
  </si>
  <si>
    <t>Balanco_Energia</t>
  </si>
  <si>
    <t>Uma das maiores demandas energeticas do processo.</t>
  </si>
  <si>
    <t>m_steam_real</t>
  </si>
  <si>
    <t>Vapor real</t>
  </si>
  <si>
    <t>Consumo de vapor corrigido pela eficiencia util do aquecimento.</t>
  </si>
  <si>
    <t>Q_ster / lambda_steam / eficiencia</t>
  </si>
  <si>
    <t>Balanco_Energia, KPIs</t>
  </si>
  <si>
    <t>Traduz energia em utilidade industrial.</t>
  </si>
  <si>
    <t>Q_ferm</t>
  </si>
  <si>
    <t>Energia que precisa ser removida do fermentador durante a producao.</t>
  </si>
  <si>
    <t>q_ferm * P_broth</t>
  </si>
  <si>
    <t>Dimensiona a refrigeracao do fermentador.</t>
  </si>
  <si>
    <t>Q_chill</t>
  </si>
  <si>
    <t>Carga de resfriamento para extracao</t>
  </si>
  <si>
    <t>Energia retirada do liquido para leva-lo da fermentacao ate a temperatura de extracao.</t>
  </si>
  <si>
    <t>M_liq_ext * Cp_broth * (T_in - T_ext)</t>
  </si>
  <si>
    <t>Mostra a demanda de frio da etapa de extracao.</t>
  </si>
  <si>
    <t>n_pen</t>
  </si>
  <si>
    <t>Quantidade de materia de penicilina</t>
  </si>
  <si>
    <t>Numero de kmol de penicilina presentes no caldo.</t>
  </si>
  <si>
    <t>kmol</t>
  </si>
  <si>
    <t>P_broth / MM penicilina</t>
  </si>
  <si>
    <t>Fermentacao</t>
  </si>
  <si>
    <t>Permite fazer os balancos elementares.</t>
  </si>
  <si>
    <t>n_x</t>
  </si>
  <si>
    <t>Quantidade de biomassa</t>
  </si>
  <si>
    <t>Numero de kmol da formula empirica de biomassa.</t>
  </si>
  <si>
    <t>M_x_dry / MM biomassa</t>
  </si>
  <si>
    <t>Permite fechar C, H, O e N na biomassa.</t>
  </si>
  <si>
    <t>m_s</t>
  </si>
  <si>
    <t>Substrato consumido</t>
  </si>
  <si>
    <t>Massa de glicose equivalente consumida para sustentar a fermentacao.</t>
  </si>
  <si>
    <t>P_broth / Yp/s</t>
  </si>
  <si>
    <t>Estimativa inicial de necessidade carbonada.</t>
  </si>
  <si>
    <t>m_PAA</t>
  </si>
  <si>
    <t>Precursor PAA</t>
  </si>
  <si>
    <t>Massa de acido fenilacetico estimada para formar a cadeia lateral da penicilina G.</t>
  </si>
  <si>
    <t>1.05 * n_pen * MM_PAA</t>
  </si>
  <si>
    <t>Mostra a necessidade de precursor especifico.</t>
  </si>
  <si>
    <t>m_NH3_eq</t>
  </si>
  <si>
    <t>Amonia equivalente</t>
  </si>
  <si>
    <t>Quantidade de nitrogenio quimicamente retida em produto e biomassa expressa como NH3.</t>
  </si>
  <si>
    <t>n_N_total * MM_NH3</t>
  </si>
  <si>
    <t>Estimativa inicial do consumo nitrogenado.</t>
  </si>
  <si>
    <t>m_CO2</t>
  </si>
  <si>
    <t>CO2 gerado</t>
  </si>
  <si>
    <t>Massa de dioxido de carbono liberada pela respiracao e metabolismo.</t>
  </si>
  <si>
    <t>n_CO2 * MM_CO2</t>
  </si>
  <si>
    <t>Fermentacao, KPIs</t>
  </si>
  <si>
    <t>Importante para ventilacao, emissao e interpretacao do metabolismo.</t>
  </si>
  <si>
    <t>m_O2</t>
  </si>
  <si>
    <t>O2 consumido</t>
  </si>
  <si>
    <t>Massa de oxigenio requerida pela fermentacao aerobia.</t>
  </si>
  <si>
    <t>n_O2 * MM_O2</t>
  </si>
  <si>
    <t>Base para estimativa de ar e transferencia de oxigenio.</t>
  </si>
  <si>
    <t>V_ar_N</t>
  </si>
  <si>
    <t>Ar total normal</t>
  </si>
  <si>
    <t>Volume de ar total requerido em condicoes normais.</t>
  </si>
  <si>
    <t>Nm3</t>
  </si>
  <si>
    <t>n_ar * volume molar normal</t>
  </si>
  <si>
    <t>Ajuda a avaliar aeracao e sopradores.</t>
  </si>
  <si>
    <t>eta_solvente</t>
  </si>
  <si>
    <t>Fracao de solvente recuperada e reciclada internamente.</t>
  </si>
  <si>
    <t>Premissa economica</t>
  </si>
  <si>
    <t>Premissas, Custos</t>
  </si>
  <si>
    <t>Define quanto solvente novo precisa ser comprado.</t>
  </si>
  <si>
    <t>Preco_vapor</t>
  </si>
  <si>
    <t>Preco do vapor</t>
  </si>
  <si>
    <t>Custo medio de 1 kg de vapor util entregue ao processo.</t>
  </si>
  <si>
    <t>Premissas, Utilidades</t>
  </si>
  <si>
    <t>Converte a carga termica em custo.</t>
  </si>
  <si>
    <t>Preco_eletricidade</t>
  </si>
  <si>
    <t>Preco da eletricidade</t>
  </si>
  <si>
    <t>Custo de 1 kWh de energia eletrica.</t>
  </si>
  <si>
    <t>Permite estimar custo de soprador e agitacao.</t>
  </si>
  <si>
    <t>OPEX</t>
  </si>
  <si>
    <t>Custo operacional</t>
  </si>
  <si>
    <t>Soma dos custos de materias-primas, utilidades e tratamento de residuos.</t>
  </si>
  <si>
    <t>R$</t>
  </si>
  <si>
    <t>Somatorio da aba Custos</t>
  </si>
  <si>
    <t>Custos, KPIs, Dashboard</t>
  </si>
  <si>
    <t>Ajuda a comparar cenarios e identificar gargalos economicos.</t>
  </si>
  <si>
    <t>Custo_especifico</t>
  </si>
  <si>
    <t>Custo por kg de produto</t>
  </si>
  <si>
    <t>Razao entre o custo total da campanha e a massa final produzida.</t>
  </si>
  <si>
    <t>OPEX / P_final</t>
  </si>
  <si>
    <t>Mostra a intensidade economica do processo.</t>
  </si>
  <si>
    <t>Conceitos utilizados no modelo</t>
  </si>
  <si>
    <t>Leitura recomendada: comece por esta aba se quiser entender a intuicao fisica antes das formulas.</t>
  </si>
  <si>
    <t>Conceito</t>
  </si>
  <si>
    <t>Definicao simples</t>
  </si>
  <si>
    <t>Definicao tecnica</t>
  </si>
  <si>
    <t>Por que aparece na planilha</t>
  </si>
  <si>
    <t>Balanco de massa</t>
  </si>
  <si>
    <t>Tudo o que entra, sai, e se acumula precisa fechar.</t>
  </si>
  <si>
    <t>Aplicacao da conservacao da massa a um volume de controle.</t>
  </si>
  <si>
    <t>E a base de todas as correntes e perdas da planilha.</t>
  </si>
  <si>
    <t>Energia nao surge do nada nem desaparece.</t>
  </si>
  <si>
    <t>Aplicacao da Primeira Lei da Termodinamica ao processo.</t>
  </si>
  <si>
    <t>Explica as cargas de aquecimento e resfriamento.</t>
  </si>
  <si>
    <t>Recuperacao</t>
  </si>
  <si>
    <t>Parte do produto que sobrevive a uma etapa.</t>
  </si>
  <si>
    <t>Razao entre a massa de produto na saida util e a massa de produto na entrada.</t>
  </si>
  <si>
    <t>Usada nas etapas de separacao, extracao, cristalizacao e secagem.</t>
  </si>
  <si>
    <t>Mistura liquida que sai do fermentador.</t>
  </si>
  <si>
    <t>Suspensao contendo agua, penicilina, biomassa e solutos dissolvidos.</t>
  </si>
  <si>
    <t>E o ponto de partida do downstream.</t>
  </si>
  <si>
    <t>Biomassa</t>
  </si>
  <si>
    <t>Massa do fungo crescido na fermentacao.</t>
  </si>
  <si>
    <t>Massa celular seca do microrganismo produtor.</t>
  </si>
  <si>
    <t>Precisa ser removida antes da extracao.</t>
  </si>
  <si>
    <t>Extracao liquido-liquido</t>
  </si>
  <si>
    <t>Separacao por preferencia do soluto entre duas fases.</t>
  </si>
  <si>
    <t>Transferencia de penicilina da fase aquosa para uma fase organica.</t>
  </si>
  <si>
    <t>Representa a etapa principal de recuperacao do produto.</t>
  </si>
  <si>
    <t>Nova transferencia para limpar o produto.</t>
  </si>
  <si>
    <t>Operacao de purificacao que reduz impurezas e prepara a cristalizacao.</t>
  </si>
  <si>
    <t>Melhora a qualidade e reduz contaminantes.</t>
  </si>
  <si>
    <t>Cristalizacao</t>
  </si>
  <si>
    <t>Transformacao do produto dissolvido em cristais.</t>
  </si>
  <si>
    <t>Operacao em que a solubilidade e reduzida para precipitar o soluto.</t>
  </si>
  <si>
    <t>Permite separar a penicilina como solido recuperavel.</t>
  </si>
  <si>
    <t>Remocao de agua do bolo cristalino.</t>
  </si>
  <si>
    <t>Operacao termica de evaporacao da umidade residual do produto.</t>
  </si>
  <si>
    <t>Entrega o produto em forma mais estavel e comercial.</t>
  </si>
  <si>
    <t>Pseudo-estequiometria</t>
  </si>
  <si>
    <t>Modelo simplificado de uma fermentacao real muito complexa.</t>
  </si>
  <si>
    <t>Fechamento aproximado de C, H, O e N usando reacoes globais equivalentes.</t>
  </si>
  <si>
    <t>Permite estimar substrato, O2, CO2 e precursor.</t>
  </si>
  <si>
    <t>Forma padrao de representar a alimentacao carbonada.</t>
  </si>
  <si>
    <t>Base de comparacao que converte diferentes fontes de carbono em um equivalente comum.</t>
  </si>
  <si>
    <t>Facilita o uso do rendimento Yp/s.</t>
  </si>
  <si>
    <t>Precursor que ajuda a formar a penicilina G.</t>
  </si>
  <si>
    <t>Acido fenilacetico, fornecedor da cadeia lateral aromatica do produto.</t>
  </si>
  <si>
    <t>Sem ele, a rota especifica para Penicilina G nao fecha.</t>
  </si>
  <si>
    <t>vvm</t>
  </si>
  <si>
    <t>Volumes de ar por volume de liquido por minuto.</t>
  </si>
  <si>
    <t>Indicador de intensidade de aeracao de fermentadores.</t>
  </si>
  <si>
    <t>Ajuda a avaliar se a estimativa de ar parece plausivel.</t>
  </si>
  <si>
    <t>PFD</t>
  </si>
  <si>
    <t>Fluxograma de processo com correntes numeradas.</t>
  </si>
  <si>
    <t>Process Flow Diagram com equipamentos principais e correntes resumidas.</t>
  </si>
  <si>
    <t>A aba de correntes foi organizada para alimentar um PFD conceitual.</t>
  </si>
  <si>
    <t>Calor latente</t>
  </si>
  <si>
    <t>Energia usada para mudar de fase sem mudar a temperatura.</t>
  </si>
  <si>
    <t>Energia de evaporacao ou condensacao por unidade de massa.</t>
  </si>
  <si>
    <t>Entra no vapor de esterilizacao e na secagem.</t>
  </si>
  <si>
    <t>Fechamento</t>
  </si>
  <si>
    <t>Teste para ver se o calculo faz sentido fisico.</t>
  </si>
  <si>
    <t>Residual obtido ao comparar entradas, saidas e acumulacoes calculadas.</t>
  </si>
  <si>
    <t>A aba Verificacoes mostra se o modelo esta consistente.</t>
  </si>
  <si>
    <t>Utilidade</t>
  </si>
  <si>
    <t>Recurso auxiliar que faz o processo funcionar.</t>
  </si>
  <si>
    <t>Servicos industriais como vapor, eletricidade, agua de resfriamento e frio industrial.</t>
  </si>
  <si>
    <t>A aba Utilidades traduz demanda fisica em consumo operacional.</t>
  </si>
  <si>
    <t>Make-up de solvente</t>
  </si>
  <si>
    <t>Parte do solvente que precisa ser reposta.</t>
  </si>
  <si>
    <t>Quantidade de solvente fresco necessaria apos considerar reciclo e perdas.</t>
  </si>
  <si>
    <t>Aparece na aba Custos porque comprar todo o solvente seria economicamente irreal.</t>
  </si>
  <si>
    <t>Custo operacional de campanha.</t>
  </si>
  <si>
    <t>Soma de materias-primas, utilidades e tratamento associados a uma campanha produtiva.</t>
  </si>
  <si>
    <t>A aba Custos foi criada para comparacao economica conceitual.</t>
  </si>
  <si>
    <t>Utilidades detalhadas</t>
  </si>
  <si>
    <t>Esta aba converte cargas de energia e aeracao em consumos de utilidades e custo associado.</t>
  </si>
  <si>
    <t>Base fisica</t>
  </si>
  <si>
    <t>Quantidade</t>
  </si>
  <si>
    <t>Custo unitario</t>
  </si>
  <si>
    <t>Unidade custo</t>
  </si>
  <si>
    <t>Subtotal (R$)</t>
  </si>
  <si>
    <t>Vapor para esterilizacao</t>
  </si>
  <si>
    <t>Balanco_Energia!B11</t>
  </si>
  <si>
    <t>Vapor real considerando eficiencia util</t>
  </si>
  <si>
    <t>Vapor equivalente para secagem</t>
  </si>
  <si>
    <t>Q secagem / lambda vapor</t>
  </si>
  <si>
    <t>Equivalente termico para a secagem</t>
  </si>
  <si>
    <t>Agua de resfriamento equivalente</t>
  </si>
  <si>
    <t>(Q pos-ester + Q ferm)/(Cp*DeltaT)</t>
  </si>
  <si>
    <t>Remocao de calor com agua industrial</t>
  </si>
  <si>
    <t>Frio industrial para extracao</t>
  </si>
  <si>
    <t>Carga de resfriamento para 5 degC</t>
  </si>
  <si>
    <t>MJ</t>
  </si>
  <si>
    <t>Uso de utilidade fria</t>
  </si>
  <si>
    <t>Eletricidade do soprador</t>
  </si>
  <si>
    <t>Ar total x potencia especifica</t>
  </si>
  <si>
    <t>kWh</t>
  </si>
  <si>
    <t>Estimativa conceitual do soprador</t>
  </si>
  <si>
    <t>Eletricidade de agitacao</t>
  </si>
  <si>
    <t>Potencia x volume x tempo</t>
  </si>
  <si>
    <t>Estimativa conceitual da agitacao</t>
  </si>
  <si>
    <t>Total de utilidades</t>
  </si>
  <si>
    <t>Custos conceituais da campanha</t>
  </si>
  <si>
    <t>Custos editaveis e conceituais. Esta aba nao representa orcamento executivo; ela serve para comparacao de cenarios.</t>
  </si>
  <si>
    <t>Categoria</t>
  </si>
  <si>
    <t>Item</t>
  </si>
  <si>
    <t>Base</t>
  </si>
  <si>
    <t>Materia-prima</t>
  </si>
  <si>
    <t>Consumo estimado na fermentacao</t>
  </si>
  <si>
    <t>Acido fenilacetico (PAA)</t>
  </si>
  <si>
    <t>Precursor da cadeia lateral</t>
  </si>
  <si>
    <t>NH3 equivalente</t>
  </si>
  <si>
    <t>Nitrogenio assimilado</t>
  </si>
  <si>
    <t>Solvente</t>
  </si>
  <si>
    <t>Make-up de acetato de butila</t>
  </si>
  <si>
    <t>Somente reposicao; considera reciclo</t>
  </si>
  <si>
    <t>Tratamento</t>
  </si>
  <si>
    <t>Descarte de biomassa umida</t>
  </si>
  <si>
    <t>Torta removida</t>
  </si>
  <si>
    <t>Tratamento de efluente liquido</t>
  </si>
  <si>
    <t>Rafinado + torta umida encaminhados a tratamento</t>
  </si>
  <si>
    <t>Utilidades</t>
  </si>
  <si>
    <t>Somatorio da aba Utilidades</t>
  </si>
  <si>
    <t>Custo operacional total da campanha</t>
  </si>
  <si>
    <t>Custo operacional especifico</t>
  </si>
  <si>
    <t>R$/kg produto</t>
  </si>
  <si>
    <t>PFD visual simplificado - Penicilina G</t>
  </si>
  <si>
    <t>Fluxograma conceitual ligado as correntes numeradas da aba Correntes_PFD.</t>
  </si>
  <si>
    <t>F-101
Fermentador
Saida 101</t>
  </si>
  <si>
    <t>S-101
Separacao de biomassa
Saida 103</t>
  </si>
  <si>
    <t>E-101
Extracao primaria
Saidas 105 e 106</t>
  </si>
  <si>
    <t>P-101
Purificacao
Saida 107</t>
  </si>
  <si>
    <t>CR-101
Cristalizacao
Saidas 108 e 109</t>
  </si>
  <si>
    <t>D-101
Secagem
Saidas 110, 111 e 112</t>
  </si>
  <si>
    <t>101 -&gt;</t>
  </si>
  <si>
    <t>103 -&gt;</t>
  </si>
  <si>
    <t>105/107 -&gt;</t>
  </si>
  <si>
    <t>109 -&gt;</t>
  </si>
  <si>
    <t>-&gt; 110</t>
  </si>
  <si>
    <t>Corrente 102
Torta de biomassa</t>
  </si>
  <si>
    <t>Corrente 104
Solvente de extracao</t>
  </si>
  <si>
    <t>Corrente 108
Licor-mae / perdas</t>
  </si>
  <si>
    <t>Corrente 111
Agua evaporada</t>
  </si>
  <si>
    <t>Corrente 112
Perda de penicilina</t>
  </si>
  <si>
    <t>Agua+outros (kg)</t>
  </si>
  <si>
    <t>Indicadores principais</t>
  </si>
  <si>
    <t>KPI</t>
  </si>
  <si>
    <t>Recuperacao global</t>
  </si>
  <si>
    <t>%</t>
  </si>
  <si>
    <t>Biomassa seca gerada</t>
  </si>
  <si>
    <t>Perda total de produto</t>
  </si>
  <si>
    <t>Aquecimento total</t>
  </si>
  <si>
    <t>Resfriamento total</t>
  </si>
  <si>
    <t>Ar total</t>
  </si>
  <si>
    <t>m3 caldo / kg produto</t>
  </si>
  <si>
    <t>m3/kg</t>
  </si>
  <si>
    <t>kg biomassa / kg produto</t>
  </si>
  <si>
    <t>Custo total da campanha</t>
  </si>
  <si>
    <t>Custo especifico</t>
  </si>
  <si>
    <t>Custo de utilidades</t>
  </si>
  <si>
    <t>Resumo Executivo - Producao de Penicilina G</t>
  </si>
  <si>
    <t>Leitura rapida para apresentacao: o objetivo desta aba e sintetizar o caso em linguagem gerencial sem perder o significado tecnico.</t>
  </si>
  <si>
    <t>Bloco</t>
  </si>
  <si>
    <t>Mensagem executiva</t>
  </si>
  <si>
    <t>Valor 1</t>
  </si>
  <si>
    <t>Valor 2</t>
  </si>
  <si>
    <t>Objetivo</t>
  </si>
  <si>
    <t>Base de calculo adotada</t>
  </si>
  <si>
    <t>kg produto final</t>
  </si>
  <si>
    <t>Campanha conceitual de Penicilina G seca</t>
  </si>
  <si>
    <t>Recuperacao global estimada do processo</t>
  </si>
  <si>
    <t>Indicador central de desempenho do downstream</t>
  </si>
  <si>
    <t>Escala</t>
  </si>
  <si>
    <t>Volume de caldo necessario</t>
  </si>
  <si>
    <t>Referencia para capacidade fermentativa</t>
  </si>
  <si>
    <t>Carga solida removida antes da extracao</t>
  </si>
  <si>
    <t>Energia</t>
  </si>
  <si>
    <t>Vapor real para esterilizacao</t>
  </si>
  <si>
    <t>Maior utilidade termica individual</t>
  </si>
  <si>
    <t>Resfriamento total requerido</t>
  </si>
  <si>
    <t>Soma das principais demandas de frio</t>
  </si>
  <si>
    <t>CO2 gerado e ar total</t>
  </si>
  <si>
    <t>kg / Nm3</t>
  </si>
  <si>
    <t>Indicadores de respiracao e aeracao</t>
  </si>
  <si>
    <t>Economia</t>
  </si>
  <si>
    <t>Custo total e custo especifico</t>
  </si>
  <si>
    <t>R$ / R$/kg</t>
  </si>
  <si>
    <t>Custos conceituais e editaveis</t>
  </si>
  <si>
    <t>Confiabilidade</t>
  </si>
  <si>
    <t>Todos os fechamentos automaticos</t>
  </si>
  <si>
    <t>checks</t>
  </si>
  <si>
    <t>A leitura ideal e todos os checks em OK</t>
  </si>
  <si>
    <t>Mensagens prontas para apresentacao</t>
  </si>
  <si>
    <t>Dashboard - Penicilina G</t>
  </si>
  <si>
    <t>Versao para apresentacao: indicadores principais, distribuicoes e leitura executiva do processo.</t>
  </si>
  <si>
    <t>Leitura executiva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</si>
</sst>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,000"/>
    <numFmt numFmtId="165" formatCode="0,000,000"/>
    <numFmt numFmtId="166" formatCode="#,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6" fontId="0" fillId="0" borderId="1" xfId="0" applyNumberFormat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Perdas de produto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Perda por etapa</c:v>
          </c:tx>
          <c:invertIfNegative val="0"/>
          <c:cat>
            <c:strRef>
              <c:f>Recuperacoes!$A$5:$A$9</c:f>
              <c:strCache>
                <c:ptCount val="5"/>
                <c:pt idx="0">
                  <c:v>Separacao de biomassa</c:v>
                </c:pt>
                <c:pt idx="1">
                  <c:v>Extracao primaria</c:v>
                </c:pt>
                <c:pt idx="2">
                  <c:v>Reextracao/purificacao</c:v>
                </c:pt>
                <c:pt idx="3">
                  <c:v>Cristalizacao/filtracao</c:v>
                </c:pt>
                <c:pt idx="4">
                  <c:v>Secagem final</c:v>
                </c:pt>
              </c:strCache>
            </c:strRef>
          </c:cat>
          <c:val>
            <c:numRef>
              <c:f>Recuperacoes!$E$5:$E$9</c:f>
              <c:numCache>
                <c:formatCode>00,000</c:formatCode>
                <c:ptCount val="5"/>
                <c:pt idx="0">
                  <c:v>5.5341993606223241</c:v>
                </c:pt>
                <c:pt idx="1">
                  <c:v>33.039170182915541</c:v>
                </c:pt>
                <c:pt idx="2">
                  <c:v>42.730660103237369</c:v>
                </c:pt>
                <c:pt idx="3">
                  <c:v>20.510716849553887</c:v>
                </c:pt>
                <c:pt idx="4">
                  <c:v>5.0251256281406995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8-4645-B5F8-D27279D14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29912"/>
        <c:axId val="430530568"/>
      </c:barChart>
      <c:catAx>
        <c:axId val="430529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0530568"/>
        <c:crosses val="autoZero"/>
        <c:auto val="1"/>
        <c:lblAlgn val="ctr"/>
        <c:lblOffset val="100"/>
        <c:noMultiLvlLbl val="0"/>
      </c:catAx>
      <c:valAx>
        <c:axId val="430530568"/>
        <c:scaling>
          <c:orientation val="minMax"/>
        </c:scaling>
        <c:delete val="0"/>
        <c:axPos val="l"/>
        <c:majorGridlines/>
        <c:numFmt formatCode="00,000" sourceLinked="1"/>
        <c:majorTickMark val="out"/>
        <c:minorTickMark val="none"/>
        <c:tickLblPos val="nextTo"/>
        <c:crossAx val="43052991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Produto remanescente no processo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Produto apos etapa</c:v>
          </c:tx>
          <c:marker>
            <c:symbol val="none"/>
          </c:marker>
          <c:cat>
            <c:strRef>
              <c:f>Recuperacoes!$A$4:$A$9</c:f>
              <c:strCache>
                <c:ptCount val="6"/>
                <c:pt idx="0">
                  <c:v>Caldo fermentado</c:v>
                </c:pt>
                <c:pt idx="1">
                  <c:v>Separacao de biomassa</c:v>
                </c:pt>
                <c:pt idx="2">
                  <c:v>Extracao primaria</c:v>
                </c:pt>
                <c:pt idx="3">
                  <c:v>Reextracao/purificacao</c:v>
                </c:pt>
                <c:pt idx="4">
                  <c:v>Cristalizacao/filtracao</c:v>
                </c:pt>
                <c:pt idx="5">
                  <c:v>Secagem final</c:v>
                </c:pt>
              </c:strCache>
            </c:strRef>
          </c:cat>
          <c:val>
            <c:numRef>
              <c:f>Recuperacoes!$D$4:$D$9</c:f>
              <c:numCache>
                <c:formatCode>00,000</c:formatCode>
                <c:ptCount val="6"/>
                <c:pt idx="0">
                  <c:v>1106.8398721244698</c:v>
                </c:pt>
                <c:pt idx="1">
                  <c:v>1101.3056727638475</c:v>
                </c:pt>
                <c:pt idx="2">
                  <c:v>1068.266502580932</c:v>
                </c:pt>
                <c:pt idx="3">
                  <c:v>1025.5358424776946</c:v>
                </c:pt>
                <c:pt idx="4">
                  <c:v>1005.0251256281407</c:v>
                </c:pt>
                <c:pt idx="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1-4E5C-84AA-481A71B49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248328"/>
        <c:axId val="524247672"/>
      </c:lineChart>
      <c:catAx>
        <c:axId val="524248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4247672"/>
        <c:crosses val="autoZero"/>
        <c:auto val="1"/>
        <c:lblAlgn val="ctr"/>
        <c:lblOffset val="100"/>
        <c:noMultiLvlLbl val="0"/>
      </c:catAx>
      <c:valAx>
        <c:axId val="524247672"/>
        <c:scaling>
          <c:orientation val="minMax"/>
        </c:scaling>
        <c:delete val="0"/>
        <c:axPos val="l"/>
        <c:majorGridlines/>
        <c:numFmt formatCode="00,000" sourceLinked="1"/>
        <c:majorTickMark val="out"/>
        <c:minorTickMark val="none"/>
        <c:tickLblPos val="nextTo"/>
        <c:crossAx val="52424832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Cargas energeticas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Carga energetica</c:v>
          </c:tx>
          <c:invertIfNegative val="0"/>
          <c:cat>
            <c:strRef>
              <c:f>Balanco_Energia!$A$4:$A$8</c:f>
              <c:strCache>
                <c:ptCount val="5"/>
                <c:pt idx="0">
                  <c:v>Esterilizacao</c:v>
                </c:pt>
                <c:pt idx="1">
                  <c:v>Resfriamento pos-esterilizacao</c:v>
                </c:pt>
                <c:pt idx="2">
                  <c:v>Calor da fermentacao</c:v>
                </c:pt>
                <c:pt idx="3">
                  <c:v>Resfriamento para extracao</c:v>
                </c:pt>
                <c:pt idx="4">
                  <c:v>Secagem</c:v>
                </c:pt>
              </c:strCache>
            </c:strRef>
          </c:cat>
          <c:val>
            <c:numRef>
              <c:f>Balanco_Energia!$H$4:$H$8</c:f>
              <c:numCache>
                <c:formatCode>00,000</c:formatCode>
                <c:ptCount val="5"/>
                <c:pt idx="0">
                  <c:v>9728384.5827260073</c:v>
                </c:pt>
                <c:pt idx="1">
                  <c:v>9728384.5827260073</c:v>
                </c:pt>
                <c:pt idx="2">
                  <c:v>8854718.9769957587</c:v>
                </c:pt>
                <c:pt idx="3">
                  <c:v>1849652.4085280029</c:v>
                </c:pt>
                <c:pt idx="4">
                  <c:v>602888.17826506228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A-4752-94B9-CD672806F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248984"/>
        <c:axId val="524246032"/>
      </c:barChart>
      <c:catAx>
        <c:axId val="524248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4246032"/>
        <c:crosses val="autoZero"/>
        <c:auto val="1"/>
        <c:lblAlgn val="ctr"/>
        <c:lblOffset val="100"/>
        <c:noMultiLvlLbl val="0"/>
      </c:catAx>
      <c:valAx>
        <c:axId val="524246032"/>
        <c:scaling>
          <c:orientation val="minMax"/>
        </c:scaling>
        <c:delete val="0"/>
        <c:axPos val="l"/>
        <c:majorGridlines/>
        <c:numFmt formatCode="00,000" sourceLinked="1"/>
        <c:majorTickMark val="out"/>
        <c:minorTickMark val="none"/>
        <c:tickLblPos val="nextTo"/>
        <c:crossAx val="52424898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Distribuicao simplificada das saidas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Distribuicao das saidas</c:v>
          </c:tx>
          <c:cat>
            <c:numRef>
              <c:f>Dashboard!$Q$2:$Q$5</c:f>
              <c:numCache>
                <c:formatCode>General</c:formatCode>
                <c:ptCount val="4"/>
              </c:numCache>
            </c:numRef>
          </c:cat>
          <c:val>
            <c:numRef>
              <c:f>Dashboard!$R$2:$R$5</c:f>
              <c:numCache>
                <c:formatCode>General</c:formatCode>
                <c:ptCount val="4"/>
                <c:pt idx="0">
                  <c:v>1000</c:v>
                </c:pt>
                <c:pt idx="1">
                  <c:v>442.73594884978792</c:v>
                </c:pt>
                <c:pt idx="2">
                  <c:v>241.15527130602493</c:v>
                </c:pt>
                <c:pt idx="3">
                  <c:v>106.83987212446982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1-4F40-AA55-849C35924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Distribuicao de custos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Custos por categoria</c:v>
          </c:tx>
          <c:invertIfNegative val="0"/>
          <c:cat>
            <c:numRef>
              <c:f>Dashboard!$T$2:$T$7</c:f>
              <c:numCache>
                <c:formatCode>General</c:formatCode>
                <c:ptCount val="6"/>
              </c:numCache>
            </c:numRef>
          </c:cat>
          <c:val>
            <c:numRef>
              <c:f>Dashboard!$U$2:$U$7</c:f>
              <c:numCache>
                <c:formatCode>General</c:formatCode>
                <c:ptCount val="6"/>
                <c:pt idx="0">
                  <c:v>34588.746003889682</c:v>
                </c:pt>
                <c:pt idx="1">
                  <c:v>8517.2221840496732</c:v>
                </c:pt>
                <c:pt idx="2">
                  <c:v>781.77912394012651</c:v>
                </c:pt>
                <c:pt idx="3">
                  <c:v>2601.0736994925064</c:v>
                </c:pt>
                <c:pt idx="4">
                  <c:v>1135.3108374451594</c:v>
                </c:pt>
                <c:pt idx="5">
                  <c:v>7042.5042229237333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7-4060-8122-567CAE23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36472"/>
        <c:axId val="432647928"/>
      </c:barChart>
      <c:catAx>
        <c:axId val="430536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647928"/>
        <c:crosses val="autoZero"/>
        <c:auto val="1"/>
        <c:lblAlgn val="ctr"/>
        <c:lblOffset val="100"/>
        <c:noMultiLvlLbl val="0"/>
      </c:catAx>
      <c:valAx>
        <c:axId val="432647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53647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 de utilidades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Custos de utilidades</c:v>
          </c:tx>
          <c:invertIfNegative val="0"/>
          <c:cat>
            <c:numRef>
              <c:f>Dashboard!$T$10:$T$15</c:f>
              <c:numCache>
                <c:formatCode>General</c:formatCode>
                <c:ptCount val="6"/>
              </c:numCache>
            </c:numRef>
          </c:cat>
          <c:val>
            <c:numRef>
              <c:f>Dashboard!$U$10:$U$15</c:f>
              <c:numCache>
                <c:formatCode>General</c:formatCode>
                <c:ptCount val="6"/>
                <c:pt idx="0">
                  <c:v>967.19647881285914</c:v>
                </c:pt>
                <c:pt idx="1">
                  <c:v>50.948296754793994</c:v>
                </c:pt>
                <c:pt idx="2">
                  <c:v>1778.2874219829446</c:v>
                </c:pt>
                <c:pt idx="3">
                  <c:v>147.97219268224023</c:v>
                </c:pt>
                <c:pt idx="4">
                  <c:v>556.21224189259237</c:v>
                </c:pt>
                <c:pt idx="5">
                  <c:v>3541.8875907983029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9-437E-801B-C72A35BE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53176"/>
        <c:axId val="432650224"/>
      </c:barChart>
      <c:catAx>
        <c:axId val="432653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650224"/>
        <c:crosses val="autoZero"/>
        <c:auto val="1"/>
        <c:lblAlgn val="ctr"/>
        <c:lblOffset val="100"/>
        <c:noMultiLvlLbl val="0"/>
      </c:catAx>
      <c:valAx>
        <c:axId val="43265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26531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14</xdr:row>
      <xdr:rowOff>1965960</xdr:rowOff>
    </xdr:from>
    <xdr:to>
      <xdr:col>9</xdr:col>
      <xdr:colOff>101600</xdr:colOff>
      <xdr:row>16</xdr:row>
      <xdr:rowOff>314960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3F3E76-613E-407B-B4FA-E8867473A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14</xdr:row>
      <xdr:rowOff>1965960</xdr:rowOff>
    </xdr:from>
    <xdr:to>
      <xdr:col>18</xdr:col>
      <xdr:colOff>203200</xdr:colOff>
      <xdr:row>16</xdr:row>
      <xdr:rowOff>314960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59DEC3-C0F7-401D-8B4C-93CA6932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16</xdr:row>
      <xdr:rowOff>568960</xdr:rowOff>
    </xdr:from>
    <xdr:to>
      <xdr:col>9</xdr:col>
      <xdr:colOff>101600</xdr:colOff>
      <xdr:row>17</xdr:row>
      <xdr:rowOff>929640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BA5C8A-EB46-4A43-8098-D2BC5933D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355600</xdr:colOff>
      <xdr:row>16</xdr:row>
      <xdr:rowOff>568960</xdr:rowOff>
    </xdr:from>
    <xdr:to>
      <xdr:col>18</xdr:col>
      <xdr:colOff>203200</xdr:colOff>
      <xdr:row>17</xdr:row>
      <xdr:rowOff>929640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773CF4-777B-41A7-A9A7-BF93472A9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457200</xdr:colOff>
      <xdr:row>14</xdr:row>
      <xdr:rowOff>1965960</xdr:rowOff>
    </xdr:from>
    <xdr:to>
      <xdr:col>27</xdr:col>
      <xdr:colOff>304800</xdr:colOff>
      <xdr:row>16</xdr:row>
      <xdr:rowOff>314960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6D81F4-33A7-4B0C-99D3-A13C6ECEC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457200</xdr:colOff>
      <xdr:row>16</xdr:row>
      <xdr:rowOff>568960</xdr:rowOff>
    </xdr:from>
    <xdr:to>
      <xdr:col>27</xdr:col>
      <xdr:colOff>304800</xdr:colOff>
      <xdr:row>17</xdr:row>
      <xdr:rowOff>929640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DEE7D0-4C3D-4C92-B723-751F3F440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0185-505D-4CFA-83FD-1F211C3A9AC3}">
  <dimension ref="A1:D55"/>
  <sheetViews>
    <sheetView tabSelected="1"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38.6640625" bestFit="1" customWidth="1"/>
    <col min="2" max="2" width="6.5546875" bestFit="1" customWidth="1"/>
    <col min="3" max="3" width="13.88671875" bestFit="1" customWidth="1"/>
    <col min="4" max="4" width="38.21875" bestFit="1" customWidth="1"/>
  </cols>
  <sheetData>
    <row r="1" spans="1:4" ht="18" x14ac:dyDescent="0.35">
      <c r="A1" s="1" t="s">
        <v>0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2" t="s">
        <v>5</v>
      </c>
      <c r="B4" s="4">
        <v>1000</v>
      </c>
      <c r="C4" s="2" t="s">
        <v>6</v>
      </c>
      <c r="D4" s="2" t="s">
        <v>7</v>
      </c>
    </row>
    <row r="5" spans="1:4" x14ac:dyDescent="0.3">
      <c r="A5" s="2" t="s">
        <v>8</v>
      </c>
      <c r="B5" s="4">
        <v>0.995</v>
      </c>
      <c r="C5" s="2" t="s">
        <v>9</v>
      </c>
      <c r="D5" s="2" t="s">
        <v>10</v>
      </c>
    </row>
    <row r="6" spans="1:4" x14ac:dyDescent="0.3">
      <c r="A6" s="2" t="s">
        <v>11</v>
      </c>
      <c r="B6" s="4">
        <v>0.97</v>
      </c>
      <c r="C6" s="2" t="s">
        <v>9</v>
      </c>
      <c r="D6" s="2" t="s">
        <v>12</v>
      </c>
    </row>
    <row r="7" spans="1:4" x14ac:dyDescent="0.3">
      <c r="A7" s="2" t="s">
        <v>13</v>
      </c>
      <c r="B7" s="4">
        <v>0.96</v>
      </c>
      <c r="C7" s="2" t="s">
        <v>9</v>
      </c>
      <c r="D7" s="2" t="s">
        <v>14</v>
      </c>
    </row>
    <row r="8" spans="1:4" x14ac:dyDescent="0.3">
      <c r="A8" s="2" t="s">
        <v>15</v>
      </c>
      <c r="B8" s="4">
        <v>0.98</v>
      </c>
      <c r="C8" s="2" t="s">
        <v>9</v>
      </c>
      <c r="D8" s="2" t="s">
        <v>16</v>
      </c>
    </row>
    <row r="9" spans="1:4" x14ac:dyDescent="0.3">
      <c r="A9" s="2" t="s">
        <v>17</v>
      </c>
      <c r="B9" s="4">
        <v>0.995</v>
      </c>
      <c r="C9" s="2" t="s">
        <v>9</v>
      </c>
      <c r="D9" s="2" t="s">
        <v>18</v>
      </c>
    </row>
    <row r="10" spans="1:4" x14ac:dyDescent="0.3">
      <c r="A10" s="2" t="s">
        <v>19</v>
      </c>
      <c r="B10" s="4">
        <v>45</v>
      </c>
      <c r="C10" s="2" t="s">
        <v>20</v>
      </c>
      <c r="D10" s="2" t="s">
        <v>21</v>
      </c>
    </row>
    <row r="11" spans="1:4" x14ac:dyDescent="0.3">
      <c r="A11" s="2" t="s">
        <v>22</v>
      </c>
      <c r="B11" s="4">
        <v>1030</v>
      </c>
      <c r="C11" s="2" t="s">
        <v>20</v>
      </c>
      <c r="D11" s="2" t="s">
        <v>23</v>
      </c>
    </row>
    <row r="12" spans="1:4" x14ac:dyDescent="0.3">
      <c r="A12" s="2" t="s">
        <v>24</v>
      </c>
      <c r="B12" s="4">
        <v>18</v>
      </c>
      <c r="C12" s="2" t="s">
        <v>20</v>
      </c>
      <c r="D12" s="2" t="s">
        <v>23</v>
      </c>
    </row>
    <row r="13" spans="1:4" x14ac:dyDescent="0.3">
      <c r="A13" s="2" t="s">
        <v>25</v>
      </c>
      <c r="B13" s="4">
        <v>0.2</v>
      </c>
      <c r="C13" s="2" t="s">
        <v>26</v>
      </c>
      <c r="D13" s="2" t="s">
        <v>27</v>
      </c>
    </row>
    <row r="14" spans="1:4" x14ac:dyDescent="0.3">
      <c r="A14" s="2" t="s">
        <v>28</v>
      </c>
      <c r="B14" s="4">
        <v>0.01</v>
      </c>
      <c r="C14" s="2" t="s">
        <v>26</v>
      </c>
      <c r="D14" s="2" t="s">
        <v>29</v>
      </c>
    </row>
    <row r="15" spans="1:4" x14ac:dyDescent="0.3">
      <c r="A15" s="2" t="s">
        <v>30</v>
      </c>
      <c r="B15" s="4">
        <v>25</v>
      </c>
      <c r="C15" s="2" t="s">
        <v>31</v>
      </c>
      <c r="D15" s="2" t="s">
        <v>32</v>
      </c>
    </row>
    <row r="16" spans="1:4" x14ac:dyDescent="0.3">
      <c r="A16" s="2" t="s">
        <v>33</v>
      </c>
      <c r="B16" s="4">
        <v>121</v>
      </c>
      <c r="C16" s="2" t="s">
        <v>31</v>
      </c>
      <c r="D16" s="2" t="s">
        <v>34</v>
      </c>
    </row>
    <row r="17" spans="1:4" x14ac:dyDescent="0.3">
      <c r="A17" s="2" t="s">
        <v>35</v>
      </c>
      <c r="B17" s="4">
        <v>5</v>
      </c>
      <c r="C17" s="2" t="s">
        <v>31</v>
      </c>
      <c r="D17" s="2" t="s">
        <v>36</v>
      </c>
    </row>
    <row r="18" spans="1:4" x14ac:dyDescent="0.3">
      <c r="A18" s="2" t="s">
        <v>37</v>
      </c>
      <c r="B18" s="4">
        <v>4</v>
      </c>
      <c r="C18" s="2" t="s">
        <v>38</v>
      </c>
      <c r="D18" s="2" t="s">
        <v>39</v>
      </c>
    </row>
    <row r="19" spans="1:4" x14ac:dyDescent="0.3">
      <c r="A19" s="2" t="s">
        <v>40</v>
      </c>
      <c r="B19" s="4">
        <v>1.6</v>
      </c>
      <c r="C19" s="2" t="s">
        <v>38</v>
      </c>
      <c r="D19" s="2" t="s">
        <v>39</v>
      </c>
    </row>
    <row r="20" spans="1:4" x14ac:dyDescent="0.3">
      <c r="A20" s="2" t="s">
        <v>41</v>
      </c>
      <c r="B20" s="4">
        <v>2130</v>
      </c>
      <c r="C20" s="2" t="s">
        <v>42</v>
      </c>
      <c r="D20" s="2" t="s">
        <v>43</v>
      </c>
    </row>
    <row r="21" spans="1:4" x14ac:dyDescent="0.3">
      <c r="A21" s="2" t="s">
        <v>44</v>
      </c>
      <c r="B21" s="4">
        <v>2500</v>
      </c>
      <c r="C21" s="2" t="s">
        <v>42</v>
      </c>
      <c r="D21" s="2" t="s">
        <v>45</v>
      </c>
    </row>
    <row r="22" spans="1:4" x14ac:dyDescent="0.3">
      <c r="A22" s="2" t="s">
        <v>46</v>
      </c>
      <c r="B22" s="4">
        <v>8000</v>
      </c>
      <c r="C22" s="2" t="s">
        <v>47</v>
      </c>
      <c r="D22" s="2" t="s">
        <v>48</v>
      </c>
    </row>
    <row r="23" spans="1:4" x14ac:dyDescent="0.3">
      <c r="A23" s="2" t="s">
        <v>49</v>
      </c>
      <c r="B23" s="4">
        <v>0.85</v>
      </c>
      <c r="C23" s="2" t="s">
        <v>9</v>
      </c>
      <c r="D23" s="2" t="s">
        <v>50</v>
      </c>
    </row>
    <row r="24" spans="1:4" x14ac:dyDescent="0.3">
      <c r="A24" s="2" t="s">
        <v>51</v>
      </c>
      <c r="B24" s="4">
        <v>0.2</v>
      </c>
      <c r="C24" s="2" t="s">
        <v>26</v>
      </c>
      <c r="D24" s="2" t="s">
        <v>52</v>
      </c>
    </row>
    <row r="25" spans="1:4" x14ac:dyDescent="0.3">
      <c r="A25" s="2" t="s">
        <v>53</v>
      </c>
      <c r="B25" s="4">
        <v>0.25</v>
      </c>
      <c r="C25" s="2" t="s">
        <v>54</v>
      </c>
      <c r="D25" s="2" t="s">
        <v>55</v>
      </c>
    </row>
    <row r="26" spans="1:4" x14ac:dyDescent="0.3">
      <c r="A26" s="2" t="s">
        <v>56</v>
      </c>
      <c r="B26" s="4">
        <v>0.01</v>
      </c>
      <c r="C26" s="2" t="s">
        <v>26</v>
      </c>
      <c r="D26" s="2" t="s">
        <v>23</v>
      </c>
    </row>
    <row r="27" spans="1:4" x14ac:dyDescent="0.3">
      <c r="A27" s="2" t="s">
        <v>57</v>
      </c>
      <c r="B27" s="4">
        <v>0.08</v>
      </c>
      <c r="C27" s="2" t="s">
        <v>54</v>
      </c>
      <c r="D27" s="2" t="s">
        <v>58</v>
      </c>
    </row>
    <row r="28" spans="1:4" x14ac:dyDescent="0.3">
      <c r="A28" s="2" t="s">
        <v>59</v>
      </c>
      <c r="B28" s="4">
        <v>0.05</v>
      </c>
      <c r="C28" s="2" t="s">
        <v>26</v>
      </c>
      <c r="D28" s="2" t="s">
        <v>60</v>
      </c>
    </row>
    <row r="29" spans="1:4" x14ac:dyDescent="0.3">
      <c r="A29" s="2" t="s">
        <v>61</v>
      </c>
      <c r="B29" s="4">
        <v>160</v>
      </c>
      <c r="C29" s="2" t="s">
        <v>62</v>
      </c>
      <c r="D29" s="2" t="s">
        <v>63</v>
      </c>
    </row>
    <row r="30" spans="1:4" x14ac:dyDescent="0.3">
      <c r="A30" s="2" t="s">
        <v>64</v>
      </c>
      <c r="B30" s="4">
        <v>0.21</v>
      </c>
      <c r="C30" s="2" t="s">
        <v>9</v>
      </c>
      <c r="D30" s="2" t="s">
        <v>65</v>
      </c>
    </row>
    <row r="31" spans="1:4" x14ac:dyDescent="0.3">
      <c r="A31" s="2" t="s">
        <v>66</v>
      </c>
      <c r="B31" s="4">
        <v>22.414000000000001</v>
      </c>
      <c r="C31" s="2" t="s">
        <v>67</v>
      </c>
      <c r="D31" s="2" t="s">
        <v>68</v>
      </c>
    </row>
    <row r="32" spans="1:4" x14ac:dyDescent="0.3">
      <c r="A32" s="2" t="s">
        <v>69</v>
      </c>
      <c r="B32" s="4">
        <v>334.4</v>
      </c>
      <c r="C32" s="2" t="s">
        <v>70</v>
      </c>
      <c r="D32" s="2" t="s">
        <v>71</v>
      </c>
    </row>
    <row r="33" spans="1:4" x14ac:dyDescent="0.3">
      <c r="A33" s="2" t="s">
        <v>72</v>
      </c>
      <c r="B33" s="4">
        <v>24.6</v>
      </c>
      <c r="C33" s="2" t="s">
        <v>70</v>
      </c>
      <c r="D33" s="2" t="s">
        <v>73</v>
      </c>
    </row>
    <row r="34" spans="1:4" x14ac:dyDescent="0.3">
      <c r="A34" s="2" t="s">
        <v>74</v>
      </c>
      <c r="B34" s="4">
        <v>180</v>
      </c>
      <c r="C34" s="2" t="s">
        <v>70</v>
      </c>
      <c r="D34" s="2" t="s">
        <v>75</v>
      </c>
    </row>
    <row r="35" spans="1:4" x14ac:dyDescent="0.3">
      <c r="A35" s="2" t="s">
        <v>76</v>
      </c>
      <c r="B35" s="4">
        <v>136.15</v>
      </c>
      <c r="C35" s="2" t="s">
        <v>70</v>
      </c>
      <c r="D35" s="2" t="s">
        <v>77</v>
      </c>
    </row>
    <row r="36" spans="1:4" x14ac:dyDescent="0.3">
      <c r="A36" s="2" t="s">
        <v>78</v>
      </c>
      <c r="B36" s="4">
        <v>17</v>
      </c>
      <c r="C36" s="2" t="s">
        <v>70</v>
      </c>
      <c r="D36" s="2" t="s">
        <v>79</v>
      </c>
    </row>
    <row r="37" spans="1:4" x14ac:dyDescent="0.3">
      <c r="A37" s="2" t="s">
        <v>80</v>
      </c>
      <c r="B37" s="4">
        <v>32</v>
      </c>
      <c r="C37" s="2" t="s">
        <v>70</v>
      </c>
      <c r="D37" s="2" t="s">
        <v>81</v>
      </c>
    </row>
    <row r="38" spans="1:4" x14ac:dyDescent="0.3">
      <c r="A38" s="2" t="s">
        <v>82</v>
      </c>
      <c r="B38" s="4">
        <v>32</v>
      </c>
      <c r="C38" s="2" t="s">
        <v>70</v>
      </c>
      <c r="D38" s="2" t="s">
        <v>83</v>
      </c>
    </row>
    <row r="39" spans="1:4" x14ac:dyDescent="0.3">
      <c r="A39" s="2" t="s">
        <v>84</v>
      </c>
      <c r="B39" s="4">
        <v>44</v>
      </c>
      <c r="C39" s="2" t="s">
        <v>70</v>
      </c>
      <c r="D39" s="2" t="s">
        <v>85</v>
      </c>
    </row>
    <row r="40" spans="1:4" x14ac:dyDescent="0.3">
      <c r="A40" s="2" t="s">
        <v>86</v>
      </c>
      <c r="B40" s="4">
        <v>28.84</v>
      </c>
      <c r="C40" s="2" t="s">
        <v>70</v>
      </c>
      <c r="D40" s="2" t="s">
        <v>45</v>
      </c>
    </row>
    <row r="41" spans="1:4" x14ac:dyDescent="0.3">
      <c r="A41" s="2" t="s">
        <v>87</v>
      </c>
      <c r="B41" s="4">
        <v>0.95</v>
      </c>
      <c r="C41" s="2" t="s">
        <v>9</v>
      </c>
      <c r="D41" s="2" t="s">
        <v>88</v>
      </c>
    </row>
    <row r="42" spans="1:4" x14ac:dyDescent="0.3">
      <c r="A42" s="2" t="s">
        <v>89</v>
      </c>
      <c r="B42" s="4">
        <v>2.5</v>
      </c>
      <c r="C42" s="2" t="s">
        <v>90</v>
      </c>
      <c r="D42" s="2" t="s">
        <v>91</v>
      </c>
    </row>
    <row r="43" spans="1:4" x14ac:dyDescent="0.3">
      <c r="A43" s="2" t="s">
        <v>92</v>
      </c>
      <c r="B43" s="4">
        <v>18</v>
      </c>
      <c r="C43" s="2" t="s">
        <v>90</v>
      </c>
      <c r="D43" s="2" t="s">
        <v>91</v>
      </c>
    </row>
    <row r="44" spans="1:4" x14ac:dyDescent="0.3">
      <c r="A44" s="2" t="s">
        <v>93</v>
      </c>
      <c r="B44" s="4">
        <v>4.5</v>
      </c>
      <c r="C44" s="2" t="s">
        <v>90</v>
      </c>
      <c r="D44" s="2" t="s">
        <v>91</v>
      </c>
    </row>
    <row r="45" spans="1:4" x14ac:dyDescent="0.3">
      <c r="A45" s="2" t="s">
        <v>94</v>
      </c>
      <c r="B45" s="4">
        <v>9</v>
      </c>
      <c r="C45" s="2" t="s">
        <v>90</v>
      </c>
      <c r="D45" s="2" t="s">
        <v>91</v>
      </c>
    </row>
    <row r="46" spans="1:4" x14ac:dyDescent="0.3">
      <c r="A46" s="2" t="s">
        <v>95</v>
      </c>
      <c r="B46" s="4">
        <v>0.18</v>
      </c>
      <c r="C46" s="2" t="s">
        <v>90</v>
      </c>
      <c r="D46" s="2" t="s">
        <v>91</v>
      </c>
    </row>
    <row r="47" spans="1:4" x14ac:dyDescent="0.3">
      <c r="A47" s="2" t="s">
        <v>96</v>
      </c>
      <c r="B47" s="4">
        <v>10</v>
      </c>
      <c r="C47" s="2" t="s">
        <v>31</v>
      </c>
      <c r="D47" s="2" t="s">
        <v>97</v>
      </c>
    </row>
    <row r="48" spans="1:4" x14ac:dyDescent="0.3">
      <c r="A48" s="2" t="s">
        <v>98</v>
      </c>
      <c r="B48" s="4">
        <v>4</v>
      </c>
      <c r="C48" s="2" t="s">
        <v>99</v>
      </c>
      <c r="D48" s="2" t="s">
        <v>91</v>
      </c>
    </row>
    <row r="49" spans="1:4" x14ac:dyDescent="0.3">
      <c r="A49" s="2" t="s">
        <v>100</v>
      </c>
      <c r="B49" s="4">
        <v>5</v>
      </c>
      <c r="C49" s="2" t="s">
        <v>31</v>
      </c>
      <c r="D49" s="2" t="s">
        <v>97</v>
      </c>
    </row>
    <row r="50" spans="1:4" x14ac:dyDescent="0.3">
      <c r="A50" s="2" t="s">
        <v>101</v>
      </c>
      <c r="B50" s="4">
        <v>0.08</v>
      </c>
      <c r="C50" s="2" t="s">
        <v>102</v>
      </c>
      <c r="D50" s="2" t="s">
        <v>91</v>
      </c>
    </row>
    <row r="51" spans="1:4" x14ac:dyDescent="0.3">
      <c r="A51" s="2" t="s">
        <v>103</v>
      </c>
      <c r="B51" s="4">
        <v>0.75</v>
      </c>
      <c r="C51" s="2" t="s">
        <v>104</v>
      </c>
      <c r="D51" s="2" t="s">
        <v>91</v>
      </c>
    </row>
    <row r="52" spans="1:4" x14ac:dyDescent="0.3">
      <c r="A52" s="2" t="s">
        <v>105</v>
      </c>
      <c r="B52" s="4">
        <v>18</v>
      </c>
      <c r="C52" s="2" t="s">
        <v>106</v>
      </c>
      <c r="D52" s="2" t="s">
        <v>107</v>
      </c>
    </row>
    <row r="53" spans="1:4" x14ac:dyDescent="0.3">
      <c r="A53" s="2" t="s">
        <v>108</v>
      </c>
      <c r="B53" s="4">
        <v>1.2</v>
      </c>
      <c r="C53" s="2" t="s">
        <v>109</v>
      </c>
      <c r="D53" s="2" t="s">
        <v>107</v>
      </c>
    </row>
    <row r="54" spans="1:4" x14ac:dyDescent="0.3">
      <c r="A54" s="2" t="s">
        <v>110</v>
      </c>
      <c r="B54" s="4">
        <v>0.35</v>
      </c>
      <c r="C54" s="2" t="s">
        <v>90</v>
      </c>
      <c r="D54" s="2" t="s">
        <v>91</v>
      </c>
    </row>
    <row r="55" spans="1:4" x14ac:dyDescent="0.3">
      <c r="A55" s="2" t="s">
        <v>111</v>
      </c>
      <c r="B55" s="4">
        <v>1.4999999999999999E-2</v>
      </c>
      <c r="C55" s="2" t="s">
        <v>90</v>
      </c>
      <c r="D55" s="2" t="s">
        <v>91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EA77-5B1A-439C-82FC-3F93E947CB47}">
  <dimension ref="A1:B18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33.21875" bestFit="1" customWidth="1"/>
    <col min="2" max="2" width="6.5546875" bestFit="1" customWidth="1"/>
  </cols>
  <sheetData>
    <row r="1" spans="1:2" ht="18" x14ac:dyDescent="0.35">
      <c r="A1" s="1" t="s">
        <v>112</v>
      </c>
      <c r="B1" s="2"/>
    </row>
    <row r="2" spans="1:2" x14ac:dyDescent="0.3">
      <c r="A2" s="2"/>
      <c r="B2" s="2"/>
    </row>
    <row r="3" spans="1:2" x14ac:dyDescent="0.3">
      <c r="A3" s="3" t="s">
        <v>113</v>
      </c>
      <c r="B3" s="3" t="s">
        <v>2</v>
      </c>
    </row>
    <row r="4" spans="1:2" x14ac:dyDescent="0.3">
      <c r="A4" s="2" t="s">
        <v>114</v>
      </c>
      <c r="B4" s="4">
        <f>Premissas!B5*Premissas!B6*Premissas!B7*Premissas!B8*Premissas!B9</f>
        <v>0.90347305439999992</v>
      </c>
    </row>
    <row r="5" spans="1:2" x14ac:dyDescent="0.3">
      <c r="A5" s="2" t="s">
        <v>115</v>
      </c>
      <c r="B5" s="4">
        <f>Premissas!B4/B4</f>
        <v>1106.8398721244698</v>
      </c>
    </row>
    <row r="6" spans="1:2" x14ac:dyDescent="0.3">
      <c r="A6" s="2" t="s">
        <v>116</v>
      </c>
      <c r="B6" s="4">
        <f>B5/Premissas!B10</f>
        <v>24.596441602765996</v>
      </c>
    </row>
    <row r="7" spans="1:2" x14ac:dyDescent="0.3">
      <c r="A7" s="2" t="s">
        <v>117</v>
      </c>
      <c r="B7" s="4">
        <f>B6*Premissas!B11</f>
        <v>25334.334850848976</v>
      </c>
    </row>
    <row r="8" spans="1:2" x14ac:dyDescent="0.3">
      <c r="A8" s="2" t="s">
        <v>118</v>
      </c>
      <c r="B8" s="4">
        <f>Premissas!B12*B6</f>
        <v>442.73594884978792</v>
      </c>
    </row>
    <row r="9" spans="1:2" x14ac:dyDescent="0.3">
      <c r="A9" s="2" t="s">
        <v>119</v>
      </c>
      <c r="B9" s="4">
        <f>B8/Premissas!B24</f>
        <v>2213.6797442489396</v>
      </c>
    </row>
    <row r="10" spans="1:2" x14ac:dyDescent="0.3">
      <c r="A10" s="2" t="s">
        <v>120</v>
      </c>
      <c r="B10" s="4">
        <f>B9-B8</f>
        <v>1770.9437953991517</v>
      </c>
    </row>
    <row r="11" spans="1:2" x14ac:dyDescent="0.3">
      <c r="A11" s="2" t="s">
        <v>121</v>
      </c>
      <c r="B11" s="4">
        <f>B7-B9</f>
        <v>23120.655106600036</v>
      </c>
    </row>
    <row r="12" spans="1:2" x14ac:dyDescent="0.3">
      <c r="A12" s="2" t="s">
        <v>122</v>
      </c>
      <c r="B12" s="4">
        <f>B5*Premissas!B5</f>
        <v>1101.3056727638475</v>
      </c>
    </row>
    <row r="13" spans="1:2" x14ac:dyDescent="0.3">
      <c r="A13" s="2" t="s">
        <v>123</v>
      </c>
      <c r="B13" s="4">
        <f>B12*Premissas!B6</f>
        <v>1068.266502580932</v>
      </c>
    </row>
    <row r="14" spans="1:2" x14ac:dyDescent="0.3">
      <c r="A14" s="2" t="s">
        <v>124</v>
      </c>
      <c r="B14" s="4">
        <f>B13*Premissas!B7</f>
        <v>1025.5358424776946</v>
      </c>
    </row>
    <row r="15" spans="1:2" x14ac:dyDescent="0.3">
      <c r="A15" s="2" t="s">
        <v>125</v>
      </c>
      <c r="B15" s="4">
        <f>B14*Premissas!B8</f>
        <v>1005.0251256281407</v>
      </c>
    </row>
    <row r="16" spans="1:2" x14ac:dyDescent="0.3">
      <c r="A16" s="2" t="s">
        <v>126</v>
      </c>
      <c r="B16" s="4">
        <f>B15*Premissas!B9</f>
        <v>1000</v>
      </c>
    </row>
    <row r="17" spans="1:2" x14ac:dyDescent="0.3">
      <c r="A17" s="2" t="s">
        <v>127</v>
      </c>
      <c r="B17" s="4">
        <f>B5-B16</f>
        <v>106.83987212446982</v>
      </c>
    </row>
    <row r="18" spans="1:2" x14ac:dyDescent="0.3">
      <c r="A18" s="2"/>
      <c r="B1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BA75-58A8-4DFC-BF69-72ED9924F83A}">
  <dimension ref="A1:F9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26.88671875" bestFit="1" customWidth="1"/>
    <col min="2" max="2" width="18.88671875" bestFit="1" customWidth="1"/>
    <col min="4" max="4" width="16.5546875" bestFit="1" customWidth="1"/>
    <col min="5" max="5" width="9.6640625" bestFit="1" customWidth="1"/>
    <col min="6" max="6" width="19.6640625" bestFit="1" customWidth="1"/>
  </cols>
  <sheetData>
    <row r="1" spans="1:6" ht="18" x14ac:dyDescent="0.35">
      <c r="A1" s="1" t="s">
        <v>128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3" t="s">
        <v>129</v>
      </c>
      <c r="B3" s="3" t="s">
        <v>130</v>
      </c>
      <c r="C3" s="3" t="s">
        <v>131</v>
      </c>
      <c r="D3" s="3" t="s">
        <v>132</v>
      </c>
      <c r="E3" s="3" t="s">
        <v>133</v>
      </c>
      <c r="F3" s="3" t="s">
        <v>134</v>
      </c>
    </row>
    <row r="4" spans="1:6" x14ac:dyDescent="0.3">
      <c r="A4" s="2" t="s">
        <v>135</v>
      </c>
      <c r="B4" s="4">
        <f>Calculos_Produto!B5</f>
        <v>1106.8398721244698</v>
      </c>
      <c r="C4" s="4">
        <v>1</v>
      </c>
      <c r="D4" s="4">
        <f>B4*C4</f>
        <v>1106.8398721244698</v>
      </c>
      <c r="E4" s="4">
        <f>B4-D4</f>
        <v>0</v>
      </c>
      <c r="F4" s="4">
        <f>E4</f>
        <v>0</v>
      </c>
    </row>
    <row r="5" spans="1:6" x14ac:dyDescent="0.3">
      <c r="A5" s="2" t="s">
        <v>136</v>
      </c>
      <c r="B5" s="4">
        <f>D4</f>
        <v>1106.8398721244698</v>
      </c>
      <c r="C5" s="4">
        <f>Premissas!B5</f>
        <v>0.995</v>
      </c>
      <c r="D5" s="4">
        <f>B5*C5</f>
        <v>1101.3056727638475</v>
      </c>
      <c r="E5" s="4">
        <f>B5-D5</f>
        <v>5.5341993606223241</v>
      </c>
      <c r="F5" s="4">
        <f>F4+E5</f>
        <v>5.5341993606223241</v>
      </c>
    </row>
    <row r="6" spans="1:6" x14ac:dyDescent="0.3">
      <c r="A6" s="2" t="s">
        <v>55</v>
      </c>
      <c r="B6" s="4">
        <f>D5</f>
        <v>1101.3056727638475</v>
      </c>
      <c r="C6" s="4">
        <f>Premissas!B6</f>
        <v>0.97</v>
      </c>
      <c r="D6" s="4">
        <f>B6*C6</f>
        <v>1068.266502580932</v>
      </c>
      <c r="E6" s="4">
        <f>B6-D6</f>
        <v>33.039170182915541</v>
      </c>
      <c r="F6" s="4">
        <f>F5+E6</f>
        <v>38.573369543537865</v>
      </c>
    </row>
    <row r="7" spans="1:6" x14ac:dyDescent="0.3">
      <c r="A7" s="2" t="s">
        <v>137</v>
      </c>
      <c r="B7" s="4">
        <f>D6</f>
        <v>1068.266502580932</v>
      </c>
      <c r="C7" s="4">
        <f>Premissas!B7</f>
        <v>0.96</v>
      </c>
      <c r="D7" s="4">
        <f>B7*C7</f>
        <v>1025.5358424776946</v>
      </c>
      <c r="E7" s="4">
        <f>B7-D7</f>
        <v>42.730660103237369</v>
      </c>
      <c r="F7" s="4">
        <f>F6+E7</f>
        <v>81.304029646775234</v>
      </c>
    </row>
    <row r="8" spans="1:6" x14ac:dyDescent="0.3">
      <c r="A8" s="2" t="s">
        <v>138</v>
      </c>
      <c r="B8" s="4">
        <f>D7</f>
        <v>1025.5358424776946</v>
      </c>
      <c r="C8" s="4">
        <f>Premissas!B8</f>
        <v>0.98</v>
      </c>
      <c r="D8" s="4">
        <f>B8*C8</f>
        <v>1005.0251256281407</v>
      </c>
      <c r="E8" s="4">
        <f>B8-D8</f>
        <v>20.510716849553887</v>
      </c>
      <c r="F8" s="4">
        <f>F7+E8</f>
        <v>101.81474649632912</v>
      </c>
    </row>
    <row r="9" spans="1:6" x14ac:dyDescent="0.3">
      <c r="A9" s="2" t="s">
        <v>139</v>
      </c>
      <c r="B9" s="4">
        <f>D8</f>
        <v>1005.0251256281407</v>
      </c>
      <c r="C9" s="4">
        <f>Premissas!B9</f>
        <v>0.995</v>
      </c>
      <c r="D9" s="4">
        <f>B9*C9</f>
        <v>1000</v>
      </c>
      <c r="E9" s="4">
        <f>B9-D9</f>
        <v>5.0251256281406995</v>
      </c>
      <c r="F9" s="4">
        <f>F8+E9</f>
        <v>106.83987212446982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B8E5-6A82-440A-B81F-3222E82A8680}">
  <dimension ref="A1:B30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41.44140625" bestFit="1" customWidth="1"/>
    <col min="2" max="2" width="6.5546875" bestFit="1" customWidth="1"/>
  </cols>
  <sheetData>
    <row r="1" spans="1:2" ht="18" x14ac:dyDescent="0.35">
      <c r="A1" s="1" t="s">
        <v>140</v>
      </c>
      <c r="B1" s="2"/>
    </row>
    <row r="2" spans="1:2" x14ac:dyDescent="0.3">
      <c r="A2" s="2"/>
      <c r="B2" s="2"/>
    </row>
    <row r="3" spans="1:2" x14ac:dyDescent="0.3">
      <c r="A3" s="3" t="s">
        <v>141</v>
      </c>
      <c r="B3" s="3" t="s">
        <v>2</v>
      </c>
    </row>
    <row r="4" spans="1:2" x14ac:dyDescent="0.3">
      <c r="A4" s="2" t="s">
        <v>142</v>
      </c>
      <c r="B4" s="4">
        <f>Calculos_Produto!B5/Premissas!B32</f>
        <v>3.3099278472621707</v>
      </c>
    </row>
    <row r="5" spans="1:2" x14ac:dyDescent="0.3">
      <c r="A5" s="2" t="s">
        <v>143</v>
      </c>
      <c r="B5" s="4">
        <f>Calculos_Produto!B8/Premissas!B33</f>
        <v>17.997396294706824</v>
      </c>
    </row>
    <row r="6" spans="1:2" x14ac:dyDescent="0.3">
      <c r="A6" s="2" t="s">
        <v>144</v>
      </c>
      <c r="B6" s="4">
        <f>Calculos_Produto!B5/Premissas!B27</f>
        <v>13835.498401555873</v>
      </c>
    </row>
    <row r="7" spans="1:2" x14ac:dyDescent="0.3">
      <c r="A7" s="2" t="s">
        <v>145</v>
      </c>
      <c r="B7" s="4">
        <f>B6/Premissas!B34</f>
        <v>76.863880008643733</v>
      </c>
    </row>
    <row r="8" spans="1:2" x14ac:dyDescent="0.3">
      <c r="A8" s="2" t="s">
        <v>146</v>
      </c>
      <c r="B8" s="4">
        <f>Calculos_Produto!B8/B6</f>
        <v>3.2000000000000001E-2</v>
      </c>
    </row>
    <row r="9" spans="1:2" x14ac:dyDescent="0.3">
      <c r="A9" s="2" t="s">
        <v>147</v>
      </c>
      <c r="B9" s="4">
        <f>(1+Premissas!B28)*B4</f>
        <v>3.4754242396252795</v>
      </c>
    </row>
    <row r="10" spans="1:2" x14ac:dyDescent="0.3">
      <c r="A10" s="2" t="s">
        <v>148</v>
      </c>
      <c r="B10" s="4">
        <f>B9*Premissas!B35</f>
        <v>473.17901022498182</v>
      </c>
    </row>
    <row r="11" spans="1:2" x14ac:dyDescent="0.3">
      <c r="A11" s="2" t="s">
        <v>149</v>
      </c>
      <c r="B11" s="4">
        <f>0.2*B5</f>
        <v>3.5994792589413649</v>
      </c>
    </row>
    <row r="12" spans="1:2" x14ac:dyDescent="0.3">
      <c r="A12" s="2" t="s">
        <v>150</v>
      </c>
      <c r="B12" s="4">
        <f>2*B4</f>
        <v>6.6198556945243414</v>
      </c>
    </row>
    <row r="13" spans="1:2" x14ac:dyDescent="0.3">
      <c r="A13" s="2" t="s">
        <v>151</v>
      </c>
      <c r="B13" s="4">
        <f>B11+B12</f>
        <v>10.219334953465706</v>
      </c>
    </row>
    <row r="14" spans="1:2" x14ac:dyDescent="0.3">
      <c r="A14" s="2" t="s">
        <v>152</v>
      </c>
      <c r="B14" s="4">
        <f>B13*Premissas!B36</f>
        <v>173.72869420891701</v>
      </c>
    </row>
    <row r="15" spans="1:2" x14ac:dyDescent="0.3">
      <c r="A15" s="2" t="s">
        <v>153</v>
      </c>
      <c r="B15" s="4">
        <f>B4</f>
        <v>3.3099278472621707</v>
      </c>
    </row>
    <row r="16" spans="1:2" x14ac:dyDescent="0.3">
      <c r="A16" s="2" t="s">
        <v>154</v>
      </c>
      <c r="B16" s="4">
        <f>B15*Premissas!B37</f>
        <v>105.91769111238946</v>
      </c>
    </row>
    <row r="17" spans="1:2" x14ac:dyDescent="0.3">
      <c r="A17" s="2" t="s">
        <v>155</v>
      </c>
      <c r="B17" s="4">
        <f>6*B7</f>
        <v>461.18328005186243</v>
      </c>
    </row>
    <row r="18" spans="1:2" x14ac:dyDescent="0.3">
      <c r="A18" s="2" t="s">
        <v>156</v>
      </c>
      <c r="B18" s="4">
        <f>B5</f>
        <v>17.997396294706824</v>
      </c>
    </row>
    <row r="19" spans="1:2" x14ac:dyDescent="0.3">
      <c r="A19" s="2" t="s">
        <v>157</v>
      </c>
      <c r="B19" s="4">
        <f>16*B4</f>
        <v>52.958845556194731</v>
      </c>
    </row>
    <row r="20" spans="1:2" x14ac:dyDescent="0.3">
      <c r="A20" s="2" t="s">
        <v>158</v>
      </c>
      <c r="B20" s="4">
        <f>B17-B18-B19</f>
        <v>390.22703820096086</v>
      </c>
    </row>
    <row r="21" spans="1:2" x14ac:dyDescent="0.3">
      <c r="A21" s="2" t="s">
        <v>159</v>
      </c>
      <c r="B21" s="4">
        <f>B20*Premissas!B39</f>
        <v>17169.989680842278</v>
      </c>
    </row>
    <row r="22" spans="1:2" x14ac:dyDescent="0.3">
      <c r="A22" s="2" t="s">
        <v>160</v>
      </c>
      <c r="B22" s="4">
        <f>((12*B7)+(3*B13)-(1.8*B5+18*B4))/2</f>
        <v>430.52527519146531</v>
      </c>
    </row>
    <row r="23" spans="1:2" x14ac:dyDescent="0.3">
      <c r="A23" s="2" t="s">
        <v>161</v>
      </c>
      <c r="B23" s="4">
        <f>B22*18</f>
        <v>7749.4549534463758</v>
      </c>
    </row>
    <row r="24" spans="1:2" x14ac:dyDescent="0.3">
      <c r="A24" s="2" t="s">
        <v>162</v>
      </c>
      <c r="B24" s="4">
        <f>((0.5*B5)+(4*B4)+(2*B20)+B22-(6*B7))/2</f>
        <v>386.01724053896334</v>
      </c>
    </row>
    <row r="25" spans="1:2" x14ac:dyDescent="0.3">
      <c r="A25" s="2" t="s">
        <v>163</v>
      </c>
      <c r="B25" s="4">
        <f>B24*Premissas!B38</f>
        <v>12352.551697246827</v>
      </c>
    </row>
    <row r="26" spans="1:2" x14ac:dyDescent="0.3">
      <c r="A26" s="2" t="s">
        <v>164</v>
      </c>
      <c r="B26" s="4">
        <f>B24/Premissas!B30</f>
        <v>1838.1773358998255</v>
      </c>
    </row>
    <row r="27" spans="1:2" x14ac:dyDescent="0.3">
      <c r="A27" s="2" t="s">
        <v>165</v>
      </c>
      <c r="B27" s="4">
        <f>B26*Premissas!B31</f>
        <v>41200.906806858693</v>
      </c>
    </row>
    <row r="28" spans="1:2" x14ac:dyDescent="0.3">
      <c r="A28" s="2" t="s">
        <v>166</v>
      </c>
      <c r="B28" s="4">
        <f>B26*Premissas!B40</f>
        <v>53013.034367350971</v>
      </c>
    </row>
    <row r="29" spans="1:2" x14ac:dyDescent="0.3">
      <c r="A29" s="2" t="s">
        <v>167</v>
      </c>
      <c r="B29" s="4">
        <f>B27/Premissas!B29</f>
        <v>257.50566754286683</v>
      </c>
    </row>
    <row r="30" spans="1:2" x14ac:dyDescent="0.3">
      <c r="A30" s="2" t="s">
        <v>168</v>
      </c>
      <c r="B30" s="4">
        <f>B29/(Calculos_Produto!B6*60)</f>
        <v>0.17448707398519861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0629-E197-4F94-938C-EAD992ECD980}">
  <dimension ref="A1:H15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28.44140625" bestFit="1" customWidth="1"/>
    <col min="2" max="2" width="26.6640625" bestFit="1" customWidth="1"/>
    <col min="3" max="3" width="14.5546875" bestFit="1" customWidth="1"/>
    <col min="4" max="4" width="12.77734375" bestFit="1" customWidth="1"/>
    <col min="5" max="5" width="12.6640625" bestFit="1" customWidth="1"/>
    <col min="6" max="6" width="12.109375" bestFit="1" customWidth="1"/>
    <col min="7" max="7" width="16.5546875" bestFit="1" customWidth="1"/>
    <col min="8" max="8" width="24.6640625" bestFit="1" customWidth="1"/>
  </cols>
  <sheetData>
    <row r="1" spans="1:8" ht="18" x14ac:dyDescent="0.35">
      <c r="A1" s="1" t="s">
        <v>169</v>
      </c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3" t="s">
        <v>170</v>
      </c>
      <c r="B3" s="3" t="s">
        <v>113</v>
      </c>
      <c r="C3" s="3" t="s">
        <v>171</v>
      </c>
      <c r="D3" s="3" t="s">
        <v>172</v>
      </c>
      <c r="E3" s="3" t="s">
        <v>173</v>
      </c>
      <c r="F3" s="3" t="s">
        <v>174</v>
      </c>
      <c r="G3" s="3" t="s">
        <v>175</v>
      </c>
      <c r="H3" s="3" t="s">
        <v>4</v>
      </c>
    </row>
    <row r="4" spans="1:8" x14ac:dyDescent="0.3">
      <c r="A4" s="2">
        <v>101</v>
      </c>
      <c r="B4" s="2" t="s">
        <v>135</v>
      </c>
      <c r="C4" s="4">
        <f>Calculos_Produto!B7</f>
        <v>25334.334850848976</v>
      </c>
      <c r="D4" s="4">
        <f>Calculos_Produto!B5</f>
        <v>1106.8398721244698</v>
      </c>
      <c r="E4" s="4">
        <f>Calculos_Produto!B8</f>
        <v>442.73594884978792</v>
      </c>
      <c r="F4" s="4">
        <v>0</v>
      </c>
      <c r="G4" s="4">
        <f>C4-D4-E4-F4</f>
        <v>23784.759029874716</v>
      </c>
      <c r="H4" s="2" t="s">
        <v>176</v>
      </c>
    </row>
    <row r="5" spans="1:8" x14ac:dyDescent="0.3">
      <c r="A5" s="2">
        <v>102</v>
      </c>
      <c r="B5" s="2" t="s">
        <v>177</v>
      </c>
      <c r="C5" s="4">
        <f>Calculos_Produto!B9</f>
        <v>2213.6797442489396</v>
      </c>
      <c r="D5" s="4">
        <f>Calculos_Produto!B5-Calculos_Produto!B12</f>
        <v>5.5341993606223241</v>
      </c>
      <c r="E5" s="4">
        <f>Calculos_Produto!B8</f>
        <v>442.73594884978792</v>
      </c>
      <c r="F5" s="4">
        <v>0</v>
      </c>
      <c r="G5" s="4">
        <f>C5-D5-E5-F5</f>
        <v>1765.4095960385291</v>
      </c>
      <c r="H5" s="2" t="s">
        <v>178</v>
      </c>
    </row>
    <row r="6" spans="1:8" x14ac:dyDescent="0.3">
      <c r="A6" s="2">
        <v>103</v>
      </c>
      <c r="B6" s="2" t="s">
        <v>179</v>
      </c>
      <c r="C6" s="4">
        <f>Calculos_Produto!B11</f>
        <v>23120.655106600036</v>
      </c>
      <c r="D6" s="4">
        <f>Calculos_Produto!B12</f>
        <v>1101.3056727638475</v>
      </c>
      <c r="E6" s="4">
        <v>0</v>
      </c>
      <c r="F6" s="4">
        <v>0</v>
      </c>
      <c r="G6" s="4">
        <f>C6-D6</f>
        <v>22019.349433836189</v>
      </c>
      <c r="H6" s="2" t="s">
        <v>180</v>
      </c>
    </row>
    <row r="7" spans="1:8" x14ac:dyDescent="0.3">
      <c r="A7" s="2">
        <v>104</v>
      </c>
      <c r="B7" s="2" t="s">
        <v>181</v>
      </c>
      <c r="C7" s="4">
        <f>Premissas!B25*Calculos_Produto!B11</f>
        <v>5780.1637766500089</v>
      </c>
      <c r="D7" s="4">
        <v>0</v>
      </c>
      <c r="E7" s="4">
        <v>0</v>
      </c>
      <c r="F7" s="4">
        <f>C7</f>
        <v>5780.1637766500089</v>
      </c>
      <c r="G7" s="4">
        <v>0</v>
      </c>
      <c r="H7" s="2" t="s">
        <v>182</v>
      </c>
    </row>
    <row r="8" spans="1:8" x14ac:dyDescent="0.3">
      <c r="A8" s="2">
        <v>105</v>
      </c>
      <c r="B8" s="2" t="s">
        <v>183</v>
      </c>
      <c r="C8" s="4">
        <f>D8+F8+G8</f>
        <v>7079.6368302969413</v>
      </c>
      <c r="D8" s="4">
        <f>Calculos_Produto!B13</f>
        <v>1068.266502580932</v>
      </c>
      <c r="E8" s="4">
        <v>0</v>
      </c>
      <c r="F8" s="4">
        <f>C7</f>
        <v>5780.1637766500089</v>
      </c>
      <c r="G8" s="4">
        <f>Premissas!B26*Calculos_Produto!B11</f>
        <v>231.20655106600037</v>
      </c>
      <c r="H8" s="2" t="s">
        <v>184</v>
      </c>
    </row>
    <row r="9" spans="1:8" x14ac:dyDescent="0.3">
      <c r="A9" s="2">
        <v>106</v>
      </c>
      <c r="B9" s="2" t="s">
        <v>185</v>
      </c>
      <c r="C9" s="4">
        <f>D9+G9</f>
        <v>21821.182052953103</v>
      </c>
      <c r="D9" s="4">
        <f>Calculos_Produto!B12-Calculos_Produto!B13</f>
        <v>33.039170182915541</v>
      </c>
      <c r="E9" s="4">
        <v>0</v>
      </c>
      <c r="F9" s="4">
        <v>0</v>
      </c>
      <c r="G9" s="4">
        <f>(Calculos_Produto!B11-Calculos_Produto!B12)-(Premissas!B26*Calculos_Produto!B11)</f>
        <v>21788.142882770189</v>
      </c>
      <c r="H9" s="2" t="s">
        <v>186</v>
      </c>
    </row>
    <row r="10" spans="1:8" x14ac:dyDescent="0.3">
      <c r="A10" s="2">
        <v>107</v>
      </c>
      <c r="B10" s="2" t="s">
        <v>187</v>
      </c>
      <c r="C10" s="4"/>
      <c r="D10" s="4">
        <f>Calculos_Produto!B14</f>
        <v>1025.5358424776946</v>
      </c>
      <c r="E10" s="4">
        <v>0</v>
      </c>
      <c r="F10" s="4"/>
      <c r="G10" s="4"/>
      <c r="H10" s="2" t="s">
        <v>188</v>
      </c>
    </row>
    <row r="11" spans="1:8" x14ac:dyDescent="0.3">
      <c r="A11" s="2">
        <v>108</v>
      </c>
      <c r="B11" s="2" t="s">
        <v>189</v>
      </c>
      <c r="C11" s="4"/>
      <c r="D11" s="4">
        <f>Calculos_Produto!B14-Calculos_Produto!B15</f>
        <v>20.510716849553887</v>
      </c>
      <c r="E11" s="4">
        <v>0</v>
      </c>
      <c r="F11" s="4"/>
      <c r="G11" s="4"/>
      <c r="H11" s="2" t="s">
        <v>190</v>
      </c>
    </row>
    <row r="12" spans="1:8" x14ac:dyDescent="0.3">
      <c r="A12" s="2">
        <v>109</v>
      </c>
      <c r="B12" s="2" t="s">
        <v>191</v>
      </c>
      <c r="C12" s="4">
        <f>Secagem!B5</f>
        <v>1256.2814070351758</v>
      </c>
      <c r="D12" s="4">
        <f>Calculos_Produto!B15</f>
        <v>1005.0251256281407</v>
      </c>
      <c r="E12" s="4">
        <v>0</v>
      </c>
      <c r="F12" s="4">
        <v>0</v>
      </c>
      <c r="G12" s="4">
        <f>Secagem!B6</f>
        <v>251.25628140703509</v>
      </c>
      <c r="H12" s="2" t="s">
        <v>192</v>
      </c>
    </row>
    <row r="13" spans="1:8" x14ac:dyDescent="0.3">
      <c r="A13" s="2">
        <v>110</v>
      </c>
      <c r="B13" s="2" t="s">
        <v>29</v>
      </c>
      <c r="C13" s="4">
        <f>Secagem!B7</f>
        <v>1010.1010101010102</v>
      </c>
      <c r="D13" s="4">
        <f>Premissas!B4</f>
        <v>1000</v>
      </c>
      <c r="E13" s="4">
        <v>0</v>
      </c>
      <c r="F13" s="4">
        <v>0</v>
      </c>
      <c r="G13" s="4">
        <f>Secagem!B8</f>
        <v>10.101010101010161</v>
      </c>
      <c r="H13" s="2" t="s">
        <v>193</v>
      </c>
    </row>
    <row r="14" spans="1:8" x14ac:dyDescent="0.3">
      <c r="A14" s="2">
        <v>111</v>
      </c>
      <c r="B14" s="2" t="s">
        <v>194</v>
      </c>
      <c r="C14" s="4">
        <f>Secagem!B9</f>
        <v>241.15527130602493</v>
      </c>
      <c r="D14" s="4">
        <v>0</v>
      </c>
      <c r="E14" s="4">
        <v>0</v>
      </c>
      <c r="F14" s="4">
        <v>0</v>
      </c>
      <c r="G14" s="4">
        <f>Secagem!B9</f>
        <v>241.15527130602493</v>
      </c>
      <c r="H14" s="2" t="s">
        <v>195</v>
      </c>
    </row>
    <row r="15" spans="1:8" x14ac:dyDescent="0.3">
      <c r="A15" s="2">
        <v>112</v>
      </c>
      <c r="B15" s="2" t="s">
        <v>196</v>
      </c>
      <c r="C15" s="4">
        <f>Calculos_Produto!B15-Calculos_Produto!B16</f>
        <v>5.0251256281406995</v>
      </c>
      <c r="D15" s="4">
        <f>Calculos_Produto!B15-Calculos_Produto!B16</f>
        <v>5.0251256281406995</v>
      </c>
      <c r="E15" s="4">
        <v>0</v>
      </c>
      <c r="F15" s="4">
        <v>0</v>
      </c>
      <c r="G15" s="4">
        <v>0</v>
      </c>
      <c r="H15" s="2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A643-0968-49CA-910D-128D7D086FC6}">
  <dimension ref="A1:I11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26.6640625" bestFit="1" customWidth="1"/>
    <col min="2" max="2" width="10.109375" bestFit="1" customWidth="1"/>
    <col min="3" max="5" width="6.5546875" bestFit="1" customWidth="1"/>
    <col min="6" max="6" width="12.77734375" bestFit="1" customWidth="1"/>
    <col min="7" max="7" width="12.109375" bestFit="1" customWidth="1"/>
    <col min="8" max="8" width="10.109375" bestFit="1" customWidth="1"/>
    <col min="9" max="9" width="12" bestFit="1" customWidth="1"/>
  </cols>
  <sheetData>
    <row r="1" spans="1:9" ht="18" x14ac:dyDescent="0.35">
      <c r="A1" s="1" t="s">
        <v>198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3" t="s">
        <v>129</v>
      </c>
      <c r="B3" s="3" t="s">
        <v>199</v>
      </c>
      <c r="C3" s="3" t="s">
        <v>200</v>
      </c>
      <c r="D3" s="3" t="s">
        <v>201</v>
      </c>
      <c r="E3" s="3" t="s">
        <v>202</v>
      </c>
      <c r="F3" s="3" t="s">
        <v>203</v>
      </c>
      <c r="G3" s="3" t="s">
        <v>204</v>
      </c>
      <c r="H3" s="3" t="s">
        <v>205</v>
      </c>
      <c r="I3" s="3" t="s">
        <v>206</v>
      </c>
    </row>
    <row r="4" spans="1:9" x14ac:dyDescent="0.3">
      <c r="A4" s="2" t="s">
        <v>207</v>
      </c>
      <c r="B4" s="4">
        <f>Calculos_Produto!B7</f>
        <v>25334.334850848976</v>
      </c>
      <c r="C4" s="4">
        <f>Premissas!B18</f>
        <v>4</v>
      </c>
      <c r="D4" s="4">
        <f>Premissas!B15</f>
        <v>25</v>
      </c>
      <c r="E4" s="4">
        <f>Premissas!B16</f>
        <v>121</v>
      </c>
      <c r="F4" s="4">
        <f>B4*C4*(E4-D4)</f>
        <v>9728384.5827260073</v>
      </c>
      <c r="G4" s="4">
        <v>0</v>
      </c>
      <c r="H4" s="4">
        <f>F4+G4</f>
        <v>9728384.5827260073</v>
      </c>
      <c r="I4" s="2" t="s">
        <v>208</v>
      </c>
    </row>
    <row r="5" spans="1:9" x14ac:dyDescent="0.3">
      <c r="A5" s="2" t="s">
        <v>209</v>
      </c>
      <c r="B5" s="4">
        <f>Calculos_Produto!B7</f>
        <v>25334.334850848976</v>
      </c>
      <c r="C5" s="4">
        <f>Premissas!B18</f>
        <v>4</v>
      </c>
      <c r="D5" s="4">
        <f>Premissas!B16</f>
        <v>121</v>
      </c>
      <c r="E5" s="4">
        <f>Premissas!B15</f>
        <v>25</v>
      </c>
      <c r="F5" s="4">
        <f>B5*C5*(D5-E5)</f>
        <v>9728384.5827260073</v>
      </c>
      <c r="G5" s="4">
        <v>0</v>
      </c>
      <c r="H5" s="4">
        <f>F5+G5</f>
        <v>9728384.5827260073</v>
      </c>
      <c r="I5" s="2" t="s">
        <v>210</v>
      </c>
    </row>
    <row r="6" spans="1:9" x14ac:dyDescent="0.3">
      <c r="A6" s="2" t="s">
        <v>211</v>
      </c>
      <c r="B6" s="4">
        <f>Calculos_Produto!B5</f>
        <v>1106.8398721244698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f>Premissas!B22*Calculos_Produto!B5</f>
        <v>8854718.9769957587</v>
      </c>
      <c r="I6" s="2" t="s">
        <v>210</v>
      </c>
    </row>
    <row r="7" spans="1:9" x14ac:dyDescent="0.3">
      <c r="A7" s="2" t="s">
        <v>212</v>
      </c>
      <c r="B7" s="4">
        <f>Calculos_Produto!B11</f>
        <v>23120.655106600036</v>
      </c>
      <c r="C7" s="4">
        <f>Premissas!B18</f>
        <v>4</v>
      </c>
      <c r="D7" s="4">
        <f>Premissas!B15</f>
        <v>25</v>
      </c>
      <c r="E7" s="4">
        <f>Premissas!B17</f>
        <v>5</v>
      </c>
      <c r="F7" s="4">
        <f>B7*C7*(D7-E7)</f>
        <v>1849652.4085280029</v>
      </c>
      <c r="G7" s="4">
        <v>0</v>
      </c>
      <c r="H7" s="4">
        <f>F7+G7</f>
        <v>1849652.4085280029</v>
      </c>
      <c r="I7" s="2" t="s">
        <v>210</v>
      </c>
    </row>
    <row r="8" spans="1:9" x14ac:dyDescent="0.3">
      <c r="A8" s="2" t="s">
        <v>213</v>
      </c>
      <c r="B8" s="4">
        <f>Secagem!B9</f>
        <v>241.15527130602493</v>
      </c>
      <c r="C8" s="4">
        <v>0</v>
      </c>
      <c r="D8" s="4">
        <v>0</v>
      </c>
      <c r="E8" s="4">
        <v>0</v>
      </c>
      <c r="F8" s="4">
        <v>0</v>
      </c>
      <c r="G8" s="4">
        <f>Secagem!B10</f>
        <v>602888.17826506228</v>
      </c>
      <c r="H8" s="4">
        <f>F8+G8</f>
        <v>602888.17826506228</v>
      </c>
      <c r="I8" s="2" t="s">
        <v>208</v>
      </c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 t="s">
        <v>214</v>
      </c>
      <c r="B10" s="4">
        <f>H4/Premissas!B20</f>
        <v>4567.3167055051681</v>
      </c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215</v>
      </c>
      <c r="B11" s="4">
        <f>B10/Premissas!B23</f>
        <v>5373.3137711825511</v>
      </c>
      <c r="C11" s="2"/>
      <c r="D11" s="2"/>
      <c r="E11" s="2"/>
      <c r="F11" s="2"/>
      <c r="G11" s="2"/>
      <c r="H11" s="2"/>
      <c r="I11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E40-1C3E-4DE8-B4BC-E7B6AA78A95E}">
  <dimension ref="A1:B10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27.6640625" bestFit="1" customWidth="1"/>
    <col min="2" max="2" width="7.5546875" bestFit="1" customWidth="1"/>
  </cols>
  <sheetData>
    <row r="1" spans="1:2" ht="18" x14ac:dyDescent="0.35">
      <c r="A1" s="1" t="s">
        <v>216</v>
      </c>
      <c r="B1" s="2"/>
    </row>
    <row r="2" spans="1:2" x14ac:dyDescent="0.3">
      <c r="A2" s="2"/>
      <c r="B2" s="2"/>
    </row>
    <row r="3" spans="1:2" x14ac:dyDescent="0.3">
      <c r="A3" s="3" t="s">
        <v>141</v>
      </c>
      <c r="B3" s="3" t="s">
        <v>2</v>
      </c>
    </row>
    <row r="4" spans="1:2" x14ac:dyDescent="0.3">
      <c r="A4" s="2" t="s">
        <v>217</v>
      </c>
      <c r="B4" s="4">
        <f>Calculos_Produto!B15</f>
        <v>1005.0251256281407</v>
      </c>
    </row>
    <row r="5" spans="1:2" x14ac:dyDescent="0.3">
      <c r="A5" s="2" t="s">
        <v>218</v>
      </c>
      <c r="B5" s="4">
        <f>B4/(1-Premissas!B13)</f>
        <v>1256.2814070351758</v>
      </c>
    </row>
    <row r="6" spans="1:2" x14ac:dyDescent="0.3">
      <c r="A6" s="2" t="s">
        <v>219</v>
      </c>
      <c r="B6" s="4">
        <f>B5-B4</f>
        <v>251.25628140703509</v>
      </c>
    </row>
    <row r="7" spans="1:2" x14ac:dyDescent="0.3">
      <c r="A7" s="2" t="s">
        <v>220</v>
      </c>
      <c r="B7" s="4">
        <f>Premissas!B4/(1-Premissas!B14)</f>
        <v>1010.1010101010102</v>
      </c>
    </row>
    <row r="8" spans="1:2" x14ac:dyDescent="0.3">
      <c r="A8" s="2" t="s">
        <v>221</v>
      </c>
      <c r="B8" s="4">
        <f>B7-Premissas!B4</f>
        <v>10.101010101010161</v>
      </c>
    </row>
    <row r="9" spans="1:2" x14ac:dyDescent="0.3">
      <c r="A9" s="2" t="s">
        <v>222</v>
      </c>
      <c r="B9" s="4">
        <f>B6-B8</f>
        <v>241.15527130602493</v>
      </c>
    </row>
    <row r="10" spans="1:2" x14ac:dyDescent="0.3">
      <c r="A10" s="2" t="s">
        <v>223</v>
      </c>
      <c r="B10" s="4">
        <f>B9*Premissas!B21</f>
        <v>602888.17826506228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BA29-53B7-4D19-AD2D-413C25EB0F28}">
  <dimension ref="A1:E12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34.88671875" bestFit="1" customWidth="1"/>
    <col min="2" max="2" width="49.88671875" bestFit="1" customWidth="1"/>
    <col min="3" max="3" width="9.109375" bestFit="1" customWidth="1"/>
    <col min="4" max="4" width="8.109375" bestFit="1" customWidth="1"/>
    <col min="5" max="5" width="6.77734375" bestFit="1" customWidth="1"/>
  </cols>
  <sheetData>
    <row r="1" spans="1:5" ht="18" x14ac:dyDescent="0.35">
      <c r="A1" s="1" t="s">
        <v>224</v>
      </c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x14ac:dyDescent="0.3">
      <c r="A3" s="3" t="s">
        <v>225</v>
      </c>
      <c r="B3" s="3" t="s">
        <v>226</v>
      </c>
      <c r="C3" s="3" t="s">
        <v>227</v>
      </c>
      <c r="D3" s="3" t="s">
        <v>3</v>
      </c>
      <c r="E3" s="3" t="s">
        <v>228</v>
      </c>
    </row>
    <row r="4" spans="1:5" x14ac:dyDescent="0.3">
      <c r="A4" s="2" t="s">
        <v>229</v>
      </c>
      <c r="B4" s="2" t="s">
        <v>230</v>
      </c>
      <c r="C4" s="5">
        <f>Calculos_Produto!B16-Premissas!B4</f>
        <v>0</v>
      </c>
      <c r="D4" s="2" t="s">
        <v>6</v>
      </c>
      <c r="E4" s="2" t="str">
        <f>IF(ABS(C4)&lt;=0.000001,"OK","Revisar")</f>
        <v>OK</v>
      </c>
    </row>
    <row r="5" spans="1:5" x14ac:dyDescent="0.3">
      <c r="A5" s="2" t="s">
        <v>231</v>
      </c>
      <c r="B5" s="2" t="s">
        <v>232</v>
      </c>
      <c r="C5" s="5">
        <f>SUM(Recuperacoes!E5:E9)+Recuperacoes!D9-Recuperacoes!B4</f>
        <v>0</v>
      </c>
      <c r="D5" s="2" t="s">
        <v>6</v>
      </c>
      <c r="E5" s="2" t="str">
        <f>IF(ABS(C5)&lt;=0.000001,"OK","Revisar")</f>
        <v>OK</v>
      </c>
    </row>
    <row r="6" spans="1:5" x14ac:dyDescent="0.3">
      <c r="A6" s="2" t="s">
        <v>233</v>
      </c>
      <c r="B6" s="2" t="s">
        <v>234</v>
      </c>
      <c r="C6" s="5">
        <f>Correntes_PFD!C4-Correntes_PFD!C5-Correntes_PFD!C6</f>
        <v>0</v>
      </c>
      <c r="D6" s="2" t="s">
        <v>6</v>
      </c>
      <c r="E6" s="2" t="str">
        <f>IF(ABS(C6)&lt;=0.000001,"OK","Revisar")</f>
        <v>OK</v>
      </c>
    </row>
    <row r="7" spans="1:5" x14ac:dyDescent="0.3">
      <c r="A7" s="2" t="s">
        <v>235</v>
      </c>
      <c r="B7" s="2" t="s">
        <v>236</v>
      </c>
      <c r="C7" s="5">
        <f>Correntes_PFD!C6+Correntes_PFD!C7-Correntes_PFD!C8-Correntes_PFD!C9</f>
        <v>0</v>
      </c>
      <c r="D7" s="2" t="s">
        <v>6</v>
      </c>
      <c r="E7" s="2" t="str">
        <f>IF(ABS(C7)&lt;=0.000001,"OK","Revisar")</f>
        <v>OK</v>
      </c>
    </row>
    <row r="8" spans="1:5" x14ac:dyDescent="0.3">
      <c r="A8" s="2" t="s">
        <v>237</v>
      </c>
      <c r="B8" s="2" t="s">
        <v>238</v>
      </c>
      <c r="C8" s="5">
        <f>Correntes_PFD!C12-Correntes_PFD!C13-Correntes_PFD!C14-Correntes_PFD!C15</f>
        <v>0</v>
      </c>
      <c r="D8" s="2" t="s">
        <v>6</v>
      </c>
      <c r="E8" s="2" t="str">
        <f>IF(ABS(C8)&lt;=0.000001,"OK","Revisar")</f>
        <v>OK</v>
      </c>
    </row>
    <row r="9" spans="1:5" x14ac:dyDescent="0.3">
      <c r="A9" s="2" t="s">
        <v>239</v>
      </c>
      <c r="B9" s="2" t="s">
        <v>240</v>
      </c>
      <c r="C9" s="5">
        <f>Correntes_PFD!D12-Correntes_PFD!D13-Correntes_PFD!D15</f>
        <v>0</v>
      </c>
      <c r="D9" s="2" t="s">
        <v>6</v>
      </c>
      <c r="E9" s="2" t="str">
        <f>IF(ABS(C9)&lt;=0.000001,"OK","Revisar")</f>
        <v>OK</v>
      </c>
    </row>
    <row r="10" spans="1:5" x14ac:dyDescent="0.3">
      <c r="A10" s="2" t="s">
        <v>241</v>
      </c>
      <c r="B10" s="2" t="s">
        <v>242</v>
      </c>
      <c r="C10" s="5">
        <f>Correntes_PFD!G12-Correntes_PFD!G13-Correntes_PFD!G14</f>
        <v>0</v>
      </c>
      <c r="D10" s="2" t="s">
        <v>6</v>
      </c>
      <c r="E10" s="2" t="str">
        <f>IF(ABS(C10)&lt;=0.000001,"OK","Revisar")</f>
        <v>OK</v>
      </c>
    </row>
    <row r="11" spans="1:5" x14ac:dyDescent="0.3">
      <c r="A11" s="2" t="s">
        <v>243</v>
      </c>
      <c r="B11" s="2" t="s">
        <v>244</v>
      </c>
      <c r="C11" s="5">
        <f>Fermentacao!B17-Fermentacao!B18-Fermentacao!B19-Fermentacao!B20</f>
        <v>0</v>
      </c>
      <c r="D11" s="2" t="s">
        <v>245</v>
      </c>
      <c r="E11" s="2" t="str">
        <f>IF(ABS(C11)&lt;=0.000001,"OK","Revisar")</f>
        <v>OK</v>
      </c>
    </row>
    <row r="12" spans="1:5" x14ac:dyDescent="0.3">
      <c r="A12" s="2" t="s">
        <v>246</v>
      </c>
      <c r="B12" s="2" t="s">
        <v>247</v>
      </c>
      <c r="C12" s="5">
        <f>Balanco_Energia!B11-(Balanco_Energia!B10/Premissas!B23)</f>
        <v>0</v>
      </c>
      <c r="D12" s="2" t="s">
        <v>6</v>
      </c>
      <c r="E12" s="2" t="str">
        <f>IF(ABS(C12)&lt;=0.000001,"OK","Revisar")</f>
        <v>OK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1C06-D192-47AC-847F-04608538D934}">
  <dimension ref="A1:G46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78.5546875" bestFit="1" customWidth="1"/>
    <col min="2" max="2" width="31.44140625" bestFit="1" customWidth="1"/>
    <col min="3" max="3" width="77.44140625" bestFit="1" customWidth="1"/>
    <col min="4" max="4" width="8.109375" bestFit="1" customWidth="1"/>
    <col min="5" max="5" width="31.6640625" bestFit="1" customWidth="1"/>
    <col min="6" max="6" width="35" bestFit="1" customWidth="1"/>
    <col min="7" max="7" width="59.33203125" bestFit="1" customWidth="1"/>
  </cols>
  <sheetData>
    <row r="1" spans="1:7" ht="18" x14ac:dyDescent="0.35">
      <c r="A1" s="1" t="s">
        <v>248</v>
      </c>
      <c r="B1" s="2"/>
      <c r="C1" s="2"/>
      <c r="D1" s="2"/>
      <c r="E1" s="2"/>
      <c r="F1" s="2"/>
      <c r="G1" s="2"/>
    </row>
    <row r="2" spans="1:7" x14ac:dyDescent="0.3">
      <c r="A2" s="2" t="s">
        <v>249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3" t="s">
        <v>250</v>
      </c>
      <c r="B4" s="3" t="s">
        <v>251</v>
      </c>
      <c r="C4" s="3" t="s">
        <v>252</v>
      </c>
      <c r="D4" s="3" t="s">
        <v>3</v>
      </c>
      <c r="E4" s="3" t="s">
        <v>253</v>
      </c>
      <c r="F4" s="3" t="s">
        <v>254</v>
      </c>
      <c r="G4" s="3" t="s">
        <v>255</v>
      </c>
    </row>
    <row r="5" spans="1:7" x14ac:dyDescent="0.3">
      <c r="A5" s="2" t="s">
        <v>256</v>
      </c>
      <c r="B5" s="2" t="s">
        <v>5</v>
      </c>
      <c r="C5" s="2" t="s">
        <v>257</v>
      </c>
      <c r="D5" s="2" t="s">
        <v>6</v>
      </c>
      <c r="E5" s="2" t="s">
        <v>258</v>
      </c>
      <c r="F5" s="2" t="s">
        <v>259</v>
      </c>
      <c r="G5" s="2" t="s">
        <v>260</v>
      </c>
    </row>
    <row r="6" spans="1:7" x14ac:dyDescent="0.3">
      <c r="A6" s="2" t="s">
        <v>8</v>
      </c>
      <c r="B6" s="2" t="s">
        <v>261</v>
      </c>
      <c r="C6" s="2" t="s">
        <v>262</v>
      </c>
      <c r="D6" s="2" t="s">
        <v>9</v>
      </c>
      <c r="E6" s="2" t="s">
        <v>263</v>
      </c>
      <c r="F6" s="2" t="s">
        <v>264</v>
      </c>
      <c r="G6" s="2" t="s">
        <v>265</v>
      </c>
    </row>
    <row r="7" spans="1:7" x14ac:dyDescent="0.3">
      <c r="A7" s="2" t="s">
        <v>11</v>
      </c>
      <c r="B7" s="2" t="s">
        <v>12</v>
      </c>
      <c r="C7" s="2" t="s">
        <v>266</v>
      </c>
      <c r="D7" s="2" t="s">
        <v>9</v>
      </c>
      <c r="E7" s="2" t="s">
        <v>263</v>
      </c>
      <c r="F7" s="2" t="s">
        <v>264</v>
      </c>
      <c r="G7" s="2" t="s">
        <v>267</v>
      </c>
    </row>
    <row r="8" spans="1:7" x14ac:dyDescent="0.3">
      <c r="A8" s="2" t="s">
        <v>13</v>
      </c>
      <c r="B8" s="2" t="s">
        <v>268</v>
      </c>
      <c r="C8" s="2" t="s">
        <v>269</v>
      </c>
      <c r="D8" s="2" t="s">
        <v>9</v>
      </c>
      <c r="E8" s="2" t="s">
        <v>263</v>
      </c>
      <c r="F8" s="2" t="s">
        <v>264</v>
      </c>
      <c r="G8" s="2" t="s">
        <v>270</v>
      </c>
    </row>
    <row r="9" spans="1:7" x14ac:dyDescent="0.3">
      <c r="A9" s="2" t="s">
        <v>15</v>
      </c>
      <c r="B9" s="2" t="s">
        <v>271</v>
      </c>
      <c r="C9" s="2" t="s">
        <v>272</v>
      </c>
      <c r="D9" s="2" t="s">
        <v>9</v>
      </c>
      <c r="E9" s="2" t="s">
        <v>263</v>
      </c>
      <c r="F9" s="2" t="s">
        <v>264</v>
      </c>
      <c r="G9" s="2" t="s">
        <v>273</v>
      </c>
    </row>
    <row r="10" spans="1:7" x14ac:dyDescent="0.3">
      <c r="A10" s="2" t="s">
        <v>17</v>
      </c>
      <c r="B10" s="2" t="s">
        <v>274</v>
      </c>
      <c r="C10" s="2" t="s">
        <v>275</v>
      </c>
      <c r="D10" s="2" t="s">
        <v>9</v>
      </c>
      <c r="E10" s="2" t="s">
        <v>263</v>
      </c>
      <c r="F10" s="2" t="s">
        <v>276</v>
      </c>
      <c r="G10" s="2" t="s">
        <v>277</v>
      </c>
    </row>
    <row r="11" spans="1:7" x14ac:dyDescent="0.3">
      <c r="A11" s="2" t="s">
        <v>278</v>
      </c>
      <c r="B11" s="2" t="s">
        <v>279</v>
      </c>
      <c r="C11" s="2" t="s">
        <v>280</v>
      </c>
      <c r="D11" s="2" t="s">
        <v>20</v>
      </c>
      <c r="E11" s="2" t="s">
        <v>263</v>
      </c>
      <c r="F11" s="2" t="s">
        <v>281</v>
      </c>
      <c r="G11" s="2" t="s">
        <v>282</v>
      </c>
    </row>
    <row r="12" spans="1:7" x14ac:dyDescent="0.3">
      <c r="A12" s="2" t="s">
        <v>283</v>
      </c>
      <c r="B12" s="2" t="s">
        <v>22</v>
      </c>
      <c r="C12" s="2" t="s">
        <v>284</v>
      </c>
      <c r="D12" s="2" t="s">
        <v>20</v>
      </c>
      <c r="E12" s="2" t="s">
        <v>263</v>
      </c>
      <c r="F12" s="2" t="s">
        <v>281</v>
      </c>
      <c r="G12" s="2" t="s">
        <v>285</v>
      </c>
    </row>
    <row r="13" spans="1:7" x14ac:dyDescent="0.3">
      <c r="A13" s="2" t="s">
        <v>286</v>
      </c>
      <c r="B13" s="2" t="s">
        <v>287</v>
      </c>
      <c r="C13" s="2" t="s">
        <v>288</v>
      </c>
      <c r="D13" s="2" t="s">
        <v>20</v>
      </c>
      <c r="E13" s="2" t="s">
        <v>263</v>
      </c>
      <c r="F13" s="2" t="s">
        <v>281</v>
      </c>
      <c r="G13" s="2" t="s">
        <v>289</v>
      </c>
    </row>
    <row r="14" spans="1:7" x14ac:dyDescent="0.3">
      <c r="A14" s="2" t="s">
        <v>290</v>
      </c>
      <c r="B14" s="2" t="s">
        <v>291</v>
      </c>
      <c r="C14" s="2" t="s">
        <v>292</v>
      </c>
      <c r="D14" s="2" t="s">
        <v>9</v>
      </c>
      <c r="E14" s="2" t="s">
        <v>263</v>
      </c>
      <c r="F14" s="2" t="s">
        <v>293</v>
      </c>
      <c r="G14" s="2" t="s">
        <v>294</v>
      </c>
    </row>
    <row r="15" spans="1:7" x14ac:dyDescent="0.3">
      <c r="A15" s="2" t="s">
        <v>295</v>
      </c>
      <c r="B15" s="2" t="s">
        <v>296</v>
      </c>
      <c r="C15" s="2" t="s">
        <v>297</v>
      </c>
      <c r="D15" s="2" t="s">
        <v>9</v>
      </c>
      <c r="E15" s="2" t="s">
        <v>263</v>
      </c>
      <c r="F15" s="2" t="s">
        <v>293</v>
      </c>
      <c r="G15" s="2" t="s">
        <v>298</v>
      </c>
    </row>
    <row r="16" spans="1:7" x14ac:dyDescent="0.3">
      <c r="A16" s="2" t="s">
        <v>299</v>
      </c>
      <c r="B16" s="2" t="s">
        <v>30</v>
      </c>
      <c r="C16" s="2" t="s">
        <v>300</v>
      </c>
      <c r="D16" s="2" t="s">
        <v>31</v>
      </c>
      <c r="E16" s="2" t="s">
        <v>263</v>
      </c>
      <c r="F16" s="2" t="s">
        <v>301</v>
      </c>
      <c r="G16" s="2" t="s">
        <v>302</v>
      </c>
    </row>
    <row r="17" spans="1:7" x14ac:dyDescent="0.3">
      <c r="A17" s="2" t="s">
        <v>303</v>
      </c>
      <c r="B17" s="2" t="s">
        <v>33</v>
      </c>
      <c r="C17" s="2" t="s">
        <v>304</v>
      </c>
      <c r="D17" s="2" t="s">
        <v>31</v>
      </c>
      <c r="E17" s="2" t="s">
        <v>263</v>
      </c>
      <c r="F17" s="2" t="s">
        <v>301</v>
      </c>
      <c r="G17" s="2" t="s">
        <v>305</v>
      </c>
    </row>
    <row r="18" spans="1:7" x14ac:dyDescent="0.3">
      <c r="A18" s="2" t="s">
        <v>306</v>
      </c>
      <c r="B18" s="2" t="s">
        <v>35</v>
      </c>
      <c r="C18" s="2" t="s">
        <v>307</v>
      </c>
      <c r="D18" s="2" t="s">
        <v>31</v>
      </c>
      <c r="E18" s="2" t="s">
        <v>263</v>
      </c>
      <c r="F18" s="2" t="s">
        <v>301</v>
      </c>
      <c r="G18" s="2" t="s">
        <v>308</v>
      </c>
    </row>
    <row r="19" spans="1:7" x14ac:dyDescent="0.3">
      <c r="A19" s="2" t="s">
        <v>309</v>
      </c>
      <c r="B19" s="2" t="s">
        <v>310</v>
      </c>
      <c r="C19" s="2" t="s">
        <v>311</v>
      </c>
      <c r="D19" s="2" t="s">
        <v>38</v>
      </c>
      <c r="E19" s="2" t="s">
        <v>263</v>
      </c>
      <c r="F19" s="2" t="s">
        <v>301</v>
      </c>
      <c r="G19" s="2" t="s">
        <v>312</v>
      </c>
    </row>
    <row r="20" spans="1:7" x14ac:dyDescent="0.3">
      <c r="A20" s="2" t="s">
        <v>313</v>
      </c>
      <c r="B20" s="2" t="s">
        <v>41</v>
      </c>
      <c r="C20" s="2" t="s">
        <v>314</v>
      </c>
      <c r="D20" s="2" t="s">
        <v>42</v>
      </c>
      <c r="E20" s="2" t="s">
        <v>263</v>
      </c>
      <c r="F20" s="2" t="s">
        <v>301</v>
      </c>
      <c r="G20" s="2" t="s">
        <v>315</v>
      </c>
    </row>
    <row r="21" spans="1:7" x14ac:dyDescent="0.3">
      <c r="A21" s="2" t="s">
        <v>316</v>
      </c>
      <c r="B21" s="2" t="s">
        <v>317</v>
      </c>
      <c r="C21" s="2" t="s">
        <v>318</v>
      </c>
      <c r="D21" s="2" t="s">
        <v>42</v>
      </c>
      <c r="E21" s="2" t="s">
        <v>263</v>
      </c>
      <c r="F21" s="2" t="s">
        <v>319</v>
      </c>
      <c r="G21" s="2" t="s">
        <v>320</v>
      </c>
    </row>
    <row r="22" spans="1:7" x14ac:dyDescent="0.3">
      <c r="A22" s="2" t="s">
        <v>321</v>
      </c>
      <c r="B22" s="2" t="s">
        <v>46</v>
      </c>
      <c r="C22" s="2" t="s">
        <v>322</v>
      </c>
      <c r="D22" s="2" t="s">
        <v>42</v>
      </c>
      <c r="E22" s="2" t="s">
        <v>263</v>
      </c>
      <c r="F22" s="2" t="s">
        <v>301</v>
      </c>
      <c r="G22" s="2" t="s">
        <v>323</v>
      </c>
    </row>
    <row r="23" spans="1:7" x14ac:dyDescent="0.3">
      <c r="A23" s="2" t="s">
        <v>324</v>
      </c>
      <c r="B23" s="2" t="s">
        <v>325</v>
      </c>
      <c r="C23" s="2" t="s">
        <v>326</v>
      </c>
      <c r="D23" s="2" t="s">
        <v>54</v>
      </c>
      <c r="E23" s="2" t="s">
        <v>263</v>
      </c>
      <c r="F23" s="2" t="s">
        <v>327</v>
      </c>
      <c r="G23" s="2" t="s">
        <v>328</v>
      </c>
    </row>
    <row r="24" spans="1:7" x14ac:dyDescent="0.3">
      <c r="A24" s="2" t="s">
        <v>329</v>
      </c>
      <c r="B24" s="2" t="s">
        <v>330</v>
      </c>
      <c r="C24" s="2" t="s">
        <v>331</v>
      </c>
      <c r="D24" s="2" t="s">
        <v>6</v>
      </c>
      <c r="E24" s="2" t="s">
        <v>332</v>
      </c>
      <c r="F24" s="2" t="s">
        <v>333</v>
      </c>
      <c r="G24" s="2" t="s">
        <v>334</v>
      </c>
    </row>
    <row r="25" spans="1:7" x14ac:dyDescent="0.3">
      <c r="A25" s="2" t="s">
        <v>335</v>
      </c>
      <c r="B25" s="2" t="s">
        <v>336</v>
      </c>
      <c r="C25" s="2" t="s">
        <v>337</v>
      </c>
      <c r="D25" s="2" t="s">
        <v>338</v>
      </c>
      <c r="E25" s="2" t="s">
        <v>339</v>
      </c>
      <c r="F25" s="2" t="s">
        <v>340</v>
      </c>
      <c r="G25" s="2" t="s">
        <v>341</v>
      </c>
    </row>
    <row r="26" spans="1:7" x14ac:dyDescent="0.3">
      <c r="A26" s="2" t="s">
        <v>342</v>
      </c>
      <c r="B26" s="2" t="s">
        <v>343</v>
      </c>
      <c r="C26" s="2" t="s">
        <v>344</v>
      </c>
      <c r="D26" s="2" t="s">
        <v>6</v>
      </c>
      <c r="E26" s="2" t="s">
        <v>345</v>
      </c>
      <c r="F26" s="2" t="s">
        <v>346</v>
      </c>
      <c r="G26" s="2" t="s">
        <v>347</v>
      </c>
    </row>
    <row r="27" spans="1:7" x14ac:dyDescent="0.3">
      <c r="A27" s="2" t="s">
        <v>348</v>
      </c>
      <c r="B27" s="2" t="s">
        <v>349</v>
      </c>
      <c r="C27" s="2" t="s">
        <v>350</v>
      </c>
      <c r="D27" s="2" t="s">
        <v>6</v>
      </c>
      <c r="E27" s="2" t="s">
        <v>351</v>
      </c>
      <c r="F27" s="2" t="s">
        <v>352</v>
      </c>
      <c r="G27" s="2" t="s">
        <v>353</v>
      </c>
    </row>
    <row r="28" spans="1:7" x14ac:dyDescent="0.3">
      <c r="A28" s="2" t="s">
        <v>354</v>
      </c>
      <c r="B28" s="2" t="s">
        <v>355</v>
      </c>
      <c r="C28" s="2" t="s">
        <v>356</v>
      </c>
      <c r="D28" s="2" t="s">
        <v>6</v>
      </c>
      <c r="E28" s="2" t="s">
        <v>357</v>
      </c>
      <c r="F28" s="2" t="s">
        <v>352</v>
      </c>
      <c r="G28" s="2" t="s">
        <v>358</v>
      </c>
    </row>
    <row r="29" spans="1:7" x14ac:dyDescent="0.3">
      <c r="A29" s="2" t="s">
        <v>359</v>
      </c>
      <c r="B29" s="2" t="s">
        <v>360</v>
      </c>
      <c r="C29" s="2" t="s">
        <v>361</v>
      </c>
      <c r="D29" s="2" t="s">
        <v>6</v>
      </c>
      <c r="E29" s="2" t="s">
        <v>362</v>
      </c>
      <c r="F29" s="2" t="s">
        <v>346</v>
      </c>
      <c r="G29" s="2" t="s">
        <v>363</v>
      </c>
    </row>
    <row r="30" spans="1:7" x14ac:dyDescent="0.3">
      <c r="A30" s="2" t="s">
        <v>364</v>
      </c>
      <c r="B30" s="2" t="s">
        <v>365</v>
      </c>
      <c r="C30" s="2" t="s">
        <v>366</v>
      </c>
      <c r="D30" s="2" t="s">
        <v>367</v>
      </c>
      <c r="E30" s="2" t="s">
        <v>368</v>
      </c>
      <c r="F30" s="2" t="s">
        <v>369</v>
      </c>
      <c r="G30" s="2" t="s">
        <v>370</v>
      </c>
    </row>
    <row r="31" spans="1:7" x14ac:dyDescent="0.3">
      <c r="A31" s="2" t="s">
        <v>371</v>
      </c>
      <c r="B31" s="2" t="s">
        <v>372</v>
      </c>
      <c r="C31" s="2" t="s">
        <v>373</v>
      </c>
      <c r="D31" s="2" t="s">
        <v>6</v>
      </c>
      <c r="E31" s="2" t="s">
        <v>374</v>
      </c>
      <c r="F31" s="2" t="s">
        <v>375</v>
      </c>
      <c r="G31" s="2" t="s">
        <v>376</v>
      </c>
    </row>
    <row r="32" spans="1:7" x14ac:dyDescent="0.3">
      <c r="A32" s="2" t="s">
        <v>377</v>
      </c>
      <c r="B32" s="2" t="s">
        <v>211</v>
      </c>
      <c r="C32" s="2" t="s">
        <v>378</v>
      </c>
      <c r="D32" s="2" t="s">
        <v>367</v>
      </c>
      <c r="E32" s="2" t="s">
        <v>379</v>
      </c>
      <c r="F32" s="2" t="s">
        <v>369</v>
      </c>
      <c r="G32" s="2" t="s">
        <v>380</v>
      </c>
    </row>
    <row r="33" spans="1:7" x14ac:dyDescent="0.3">
      <c r="A33" s="2" t="s">
        <v>381</v>
      </c>
      <c r="B33" s="2" t="s">
        <v>382</v>
      </c>
      <c r="C33" s="2" t="s">
        <v>383</v>
      </c>
      <c r="D33" s="2" t="s">
        <v>367</v>
      </c>
      <c r="E33" s="2" t="s">
        <v>384</v>
      </c>
      <c r="F33" s="2" t="s">
        <v>369</v>
      </c>
      <c r="G33" s="2" t="s">
        <v>385</v>
      </c>
    </row>
    <row r="34" spans="1:7" x14ac:dyDescent="0.3">
      <c r="A34" s="2" t="s">
        <v>386</v>
      </c>
      <c r="B34" s="2" t="s">
        <v>387</v>
      </c>
      <c r="C34" s="2" t="s">
        <v>388</v>
      </c>
      <c r="D34" s="2" t="s">
        <v>389</v>
      </c>
      <c r="E34" s="2" t="s">
        <v>390</v>
      </c>
      <c r="F34" s="2" t="s">
        <v>391</v>
      </c>
      <c r="G34" s="2" t="s">
        <v>392</v>
      </c>
    </row>
    <row r="35" spans="1:7" x14ac:dyDescent="0.3">
      <c r="A35" s="2" t="s">
        <v>393</v>
      </c>
      <c r="B35" s="2" t="s">
        <v>394</v>
      </c>
      <c r="C35" s="2" t="s">
        <v>395</v>
      </c>
      <c r="D35" s="2" t="s">
        <v>389</v>
      </c>
      <c r="E35" s="2" t="s">
        <v>396</v>
      </c>
      <c r="F35" s="2" t="s">
        <v>391</v>
      </c>
      <c r="G35" s="2" t="s">
        <v>397</v>
      </c>
    </row>
    <row r="36" spans="1:7" x14ac:dyDescent="0.3">
      <c r="A36" s="2" t="s">
        <v>398</v>
      </c>
      <c r="B36" s="2" t="s">
        <v>399</v>
      </c>
      <c r="C36" s="2" t="s">
        <v>400</v>
      </c>
      <c r="D36" s="2" t="s">
        <v>6</v>
      </c>
      <c r="E36" s="2" t="s">
        <v>401</v>
      </c>
      <c r="F36" s="2" t="s">
        <v>391</v>
      </c>
      <c r="G36" s="2" t="s">
        <v>402</v>
      </c>
    </row>
    <row r="37" spans="1:7" x14ac:dyDescent="0.3">
      <c r="A37" s="2" t="s">
        <v>403</v>
      </c>
      <c r="B37" s="2" t="s">
        <v>404</v>
      </c>
      <c r="C37" s="2" t="s">
        <v>405</v>
      </c>
      <c r="D37" s="2" t="s">
        <v>6</v>
      </c>
      <c r="E37" s="2" t="s">
        <v>406</v>
      </c>
      <c r="F37" s="2" t="s">
        <v>391</v>
      </c>
      <c r="G37" s="2" t="s">
        <v>407</v>
      </c>
    </row>
    <row r="38" spans="1:7" x14ac:dyDescent="0.3">
      <c r="A38" s="2" t="s">
        <v>408</v>
      </c>
      <c r="B38" s="2" t="s">
        <v>409</v>
      </c>
      <c r="C38" s="2" t="s">
        <v>410</v>
      </c>
      <c r="D38" s="2" t="s">
        <v>6</v>
      </c>
      <c r="E38" s="2" t="s">
        <v>411</v>
      </c>
      <c r="F38" s="2" t="s">
        <v>391</v>
      </c>
      <c r="G38" s="2" t="s">
        <v>412</v>
      </c>
    </row>
    <row r="39" spans="1:7" x14ac:dyDescent="0.3">
      <c r="A39" s="2" t="s">
        <v>413</v>
      </c>
      <c r="B39" s="2" t="s">
        <v>414</v>
      </c>
      <c r="C39" s="2" t="s">
        <v>415</v>
      </c>
      <c r="D39" s="2" t="s">
        <v>6</v>
      </c>
      <c r="E39" s="2" t="s">
        <v>416</v>
      </c>
      <c r="F39" s="2" t="s">
        <v>417</v>
      </c>
      <c r="G39" s="2" t="s">
        <v>418</v>
      </c>
    </row>
    <row r="40" spans="1:7" x14ac:dyDescent="0.3">
      <c r="A40" s="2" t="s">
        <v>419</v>
      </c>
      <c r="B40" s="2" t="s">
        <v>420</v>
      </c>
      <c r="C40" s="2" t="s">
        <v>421</v>
      </c>
      <c r="D40" s="2" t="s">
        <v>6</v>
      </c>
      <c r="E40" s="2" t="s">
        <v>422</v>
      </c>
      <c r="F40" s="2" t="s">
        <v>391</v>
      </c>
      <c r="G40" s="2" t="s">
        <v>423</v>
      </c>
    </row>
    <row r="41" spans="1:7" x14ac:dyDescent="0.3">
      <c r="A41" s="2" t="s">
        <v>424</v>
      </c>
      <c r="B41" s="2" t="s">
        <v>425</v>
      </c>
      <c r="C41" s="2" t="s">
        <v>426</v>
      </c>
      <c r="D41" s="2" t="s">
        <v>427</v>
      </c>
      <c r="E41" s="2" t="s">
        <v>428</v>
      </c>
      <c r="F41" s="2" t="s">
        <v>417</v>
      </c>
      <c r="G41" s="2" t="s">
        <v>429</v>
      </c>
    </row>
    <row r="42" spans="1:7" x14ac:dyDescent="0.3">
      <c r="A42" s="2" t="s">
        <v>430</v>
      </c>
      <c r="B42" s="2" t="s">
        <v>87</v>
      </c>
      <c r="C42" s="2" t="s">
        <v>431</v>
      </c>
      <c r="D42" s="2" t="s">
        <v>9</v>
      </c>
      <c r="E42" s="2" t="s">
        <v>432</v>
      </c>
      <c r="F42" s="2" t="s">
        <v>433</v>
      </c>
      <c r="G42" s="2" t="s">
        <v>434</v>
      </c>
    </row>
    <row r="43" spans="1:7" x14ac:dyDescent="0.3">
      <c r="A43" s="2" t="s">
        <v>435</v>
      </c>
      <c r="B43" s="2" t="s">
        <v>436</v>
      </c>
      <c r="C43" s="2" t="s">
        <v>437</v>
      </c>
      <c r="D43" s="2" t="s">
        <v>90</v>
      </c>
      <c r="E43" s="2" t="s">
        <v>432</v>
      </c>
      <c r="F43" s="2" t="s">
        <v>438</v>
      </c>
      <c r="G43" s="2" t="s">
        <v>439</v>
      </c>
    </row>
    <row r="44" spans="1:7" x14ac:dyDescent="0.3">
      <c r="A44" s="2" t="s">
        <v>440</v>
      </c>
      <c r="B44" s="2" t="s">
        <v>441</v>
      </c>
      <c r="C44" s="2" t="s">
        <v>442</v>
      </c>
      <c r="D44" s="2" t="s">
        <v>104</v>
      </c>
      <c r="E44" s="2" t="s">
        <v>432</v>
      </c>
      <c r="F44" s="2" t="s">
        <v>438</v>
      </c>
      <c r="G44" s="2" t="s">
        <v>443</v>
      </c>
    </row>
    <row r="45" spans="1:7" x14ac:dyDescent="0.3">
      <c r="A45" s="2" t="s">
        <v>444</v>
      </c>
      <c r="B45" s="2" t="s">
        <v>445</v>
      </c>
      <c r="C45" s="2" t="s">
        <v>446</v>
      </c>
      <c r="D45" s="2" t="s">
        <v>447</v>
      </c>
      <c r="E45" s="2" t="s">
        <v>448</v>
      </c>
      <c r="F45" s="2" t="s">
        <v>449</v>
      </c>
      <c r="G45" s="2" t="s">
        <v>450</v>
      </c>
    </row>
    <row r="46" spans="1:7" x14ac:dyDescent="0.3">
      <c r="A46" s="2" t="s">
        <v>451</v>
      </c>
      <c r="B46" s="2" t="s">
        <v>452</v>
      </c>
      <c r="C46" s="2" t="s">
        <v>453</v>
      </c>
      <c r="D46" s="2" t="s">
        <v>90</v>
      </c>
      <c r="E46" s="2" t="s">
        <v>454</v>
      </c>
      <c r="F46" s="2" t="s">
        <v>449</v>
      </c>
      <c r="G46" s="2" t="s">
        <v>455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02EB-61A8-4266-AF1E-7E39C8AA7E7F}">
  <dimension ref="A1:D23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83.109375" bestFit="1" customWidth="1"/>
    <col min="2" max="2" width="53.77734375" bestFit="1" customWidth="1"/>
    <col min="3" max="3" width="77.88671875" bestFit="1" customWidth="1"/>
    <col min="4" max="4" width="72.109375" bestFit="1" customWidth="1"/>
  </cols>
  <sheetData>
    <row r="1" spans="1:4" ht="18" x14ac:dyDescent="0.35">
      <c r="A1" s="1" t="s">
        <v>456</v>
      </c>
      <c r="B1" s="2"/>
      <c r="C1" s="2"/>
      <c r="D1" s="2"/>
    </row>
    <row r="2" spans="1:4" x14ac:dyDescent="0.3">
      <c r="A2" s="2" t="s">
        <v>457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458</v>
      </c>
      <c r="B4" s="3" t="s">
        <v>459</v>
      </c>
      <c r="C4" s="3" t="s">
        <v>460</v>
      </c>
      <c r="D4" s="3" t="s">
        <v>461</v>
      </c>
    </row>
    <row r="5" spans="1:4" x14ac:dyDescent="0.3">
      <c r="A5" s="2" t="s">
        <v>462</v>
      </c>
      <c r="B5" s="2" t="s">
        <v>463</v>
      </c>
      <c r="C5" s="2" t="s">
        <v>464</v>
      </c>
      <c r="D5" s="2" t="s">
        <v>465</v>
      </c>
    </row>
    <row r="6" spans="1:4" x14ac:dyDescent="0.3">
      <c r="A6" s="2" t="s">
        <v>198</v>
      </c>
      <c r="B6" s="2" t="s">
        <v>466</v>
      </c>
      <c r="C6" s="2" t="s">
        <v>467</v>
      </c>
      <c r="D6" s="2" t="s">
        <v>468</v>
      </c>
    </row>
    <row r="7" spans="1:4" x14ac:dyDescent="0.3">
      <c r="A7" s="2" t="s">
        <v>469</v>
      </c>
      <c r="B7" s="2" t="s">
        <v>470</v>
      </c>
      <c r="C7" s="2" t="s">
        <v>471</v>
      </c>
      <c r="D7" s="2" t="s">
        <v>472</v>
      </c>
    </row>
    <row r="8" spans="1:4" x14ac:dyDescent="0.3">
      <c r="A8" s="2" t="s">
        <v>135</v>
      </c>
      <c r="B8" s="2" t="s">
        <v>473</v>
      </c>
      <c r="C8" s="2" t="s">
        <v>474</v>
      </c>
      <c r="D8" s="2" t="s">
        <v>475</v>
      </c>
    </row>
    <row r="9" spans="1:4" x14ac:dyDescent="0.3">
      <c r="A9" s="2" t="s">
        <v>476</v>
      </c>
      <c r="B9" s="2" t="s">
        <v>477</v>
      </c>
      <c r="C9" s="2" t="s">
        <v>478</v>
      </c>
      <c r="D9" s="2" t="s">
        <v>479</v>
      </c>
    </row>
    <row r="10" spans="1:4" x14ac:dyDescent="0.3">
      <c r="A10" s="2" t="s">
        <v>480</v>
      </c>
      <c r="B10" s="2" t="s">
        <v>481</v>
      </c>
      <c r="C10" s="2" t="s">
        <v>482</v>
      </c>
      <c r="D10" s="2" t="s">
        <v>483</v>
      </c>
    </row>
    <row r="11" spans="1:4" x14ac:dyDescent="0.3">
      <c r="A11" s="2" t="s">
        <v>137</v>
      </c>
      <c r="B11" s="2" t="s">
        <v>484</v>
      </c>
      <c r="C11" s="2" t="s">
        <v>485</v>
      </c>
      <c r="D11" s="2" t="s">
        <v>486</v>
      </c>
    </row>
    <row r="12" spans="1:4" x14ac:dyDescent="0.3">
      <c r="A12" s="2" t="s">
        <v>487</v>
      </c>
      <c r="B12" s="2" t="s">
        <v>488</v>
      </c>
      <c r="C12" s="2" t="s">
        <v>489</v>
      </c>
      <c r="D12" s="2" t="s">
        <v>490</v>
      </c>
    </row>
    <row r="13" spans="1:4" x14ac:dyDescent="0.3">
      <c r="A13" s="2" t="s">
        <v>213</v>
      </c>
      <c r="B13" s="2" t="s">
        <v>491</v>
      </c>
      <c r="C13" s="2" t="s">
        <v>492</v>
      </c>
      <c r="D13" s="2" t="s">
        <v>493</v>
      </c>
    </row>
    <row r="14" spans="1:4" x14ac:dyDescent="0.3">
      <c r="A14" s="2" t="s">
        <v>494</v>
      </c>
      <c r="B14" s="2" t="s">
        <v>495</v>
      </c>
      <c r="C14" s="2" t="s">
        <v>496</v>
      </c>
      <c r="D14" s="2" t="s">
        <v>497</v>
      </c>
    </row>
    <row r="15" spans="1:4" x14ac:dyDescent="0.3">
      <c r="A15" s="2" t="s">
        <v>58</v>
      </c>
      <c r="B15" s="2" t="s">
        <v>498</v>
      </c>
      <c r="C15" s="2" t="s">
        <v>499</v>
      </c>
      <c r="D15" s="2" t="s">
        <v>500</v>
      </c>
    </row>
    <row r="16" spans="1:4" x14ac:dyDescent="0.3">
      <c r="A16" s="2" t="s">
        <v>77</v>
      </c>
      <c r="B16" s="2" t="s">
        <v>501</v>
      </c>
      <c r="C16" s="2" t="s">
        <v>502</v>
      </c>
      <c r="D16" s="2" t="s">
        <v>503</v>
      </c>
    </row>
    <row r="17" spans="1:4" x14ac:dyDescent="0.3">
      <c r="A17" s="2" t="s">
        <v>504</v>
      </c>
      <c r="B17" s="2" t="s">
        <v>505</v>
      </c>
      <c r="C17" s="2" t="s">
        <v>506</v>
      </c>
      <c r="D17" s="2" t="s">
        <v>507</v>
      </c>
    </row>
    <row r="18" spans="1:4" x14ac:dyDescent="0.3">
      <c r="A18" s="2" t="s">
        <v>508</v>
      </c>
      <c r="B18" s="2" t="s">
        <v>509</v>
      </c>
      <c r="C18" s="2" t="s">
        <v>510</v>
      </c>
      <c r="D18" s="2" t="s">
        <v>511</v>
      </c>
    </row>
    <row r="19" spans="1:4" x14ac:dyDescent="0.3">
      <c r="A19" s="2" t="s">
        <v>512</v>
      </c>
      <c r="B19" s="2" t="s">
        <v>513</v>
      </c>
      <c r="C19" s="2" t="s">
        <v>514</v>
      </c>
      <c r="D19" s="2" t="s">
        <v>515</v>
      </c>
    </row>
    <row r="20" spans="1:4" x14ac:dyDescent="0.3">
      <c r="A20" s="2" t="s">
        <v>516</v>
      </c>
      <c r="B20" s="2" t="s">
        <v>517</v>
      </c>
      <c r="C20" s="2" t="s">
        <v>518</v>
      </c>
      <c r="D20" s="2" t="s">
        <v>519</v>
      </c>
    </row>
    <row r="21" spans="1:4" x14ac:dyDescent="0.3">
      <c r="A21" s="2" t="s">
        <v>520</v>
      </c>
      <c r="B21" s="2" t="s">
        <v>521</v>
      </c>
      <c r="C21" s="2" t="s">
        <v>522</v>
      </c>
      <c r="D21" s="2" t="s">
        <v>523</v>
      </c>
    </row>
    <row r="22" spans="1:4" x14ac:dyDescent="0.3">
      <c r="A22" s="2" t="s">
        <v>524</v>
      </c>
      <c r="B22" s="2" t="s">
        <v>525</v>
      </c>
      <c r="C22" s="2" t="s">
        <v>526</v>
      </c>
      <c r="D22" s="2" t="s">
        <v>527</v>
      </c>
    </row>
    <row r="23" spans="1:4" x14ac:dyDescent="0.3">
      <c r="A23" s="2" t="s">
        <v>444</v>
      </c>
      <c r="B23" s="2" t="s">
        <v>528</v>
      </c>
      <c r="C23" s="2" t="s">
        <v>529</v>
      </c>
      <c r="D23" s="2" t="s">
        <v>530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FB4F-AB7D-499B-AC82-7B2B1E499D09}">
  <dimension ref="A1:H12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78.21875" bestFit="1" customWidth="1"/>
    <col min="2" max="2" width="30" bestFit="1" customWidth="1"/>
    <col min="3" max="3" width="10.88671875" bestFit="1" customWidth="1"/>
    <col min="4" max="4" width="8.109375" bestFit="1" customWidth="1"/>
    <col min="5" max="5" width="12.77734375" bestFit="1" customWidth="1"/>
    <col min="6" max="6" width="13.21875" bestFit="1" customWidth="1"/>
    <col min="7" max="7" width="12" bestFit="1" customWidth="1"/>
    <col min="8" max="8" width="32.6640625" bestFit="1" customWidth="1"/>
  </cols>
  <sheetData>
    <row r="1" spans="1:8" ht="18" x14ac:dyDescent="0.35">
      <c r="A1" s="1" t="s">
        <v>531</v>
      </c>
      <c r="B1" s="2"/>
      <c r="C1" s="2"/>
      <c r="D1" s="2"/>
      <c r="E1" s="2"/>
      <c r="F1" s="2"/>
      <c r="G1" s="2"/>
      <c r="H1" s="2"/>
    </row>
    <row r="2" spans="1:8" x14ac:dyDescent="0.3">
      <c r="A2" s="2" t="s">
        <v>532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3" t="s">
        <v>520</v>
      </c>
      <c r="B4" s="3" t="s">
        <v>533</v>
      </c>
      <c r="C4" s="3" t="s">
        <v>534</v>
      </c>
      <c r="D4" s="3" t="s">
        <v>3</v>
      </c>
      <c r="E4" s="3" t="s">
        <v>535</v>
      </c>
      <c r="F4" s="3" t="s">
        <v>536</v>
      </c>
      <c r="G4" s="3" t="s">
        <v>537</v>
      </c>
      <c r="H4" s="3" t="s">
        <v>4</v>
      </c>
    </row>
    <row r="5" spans="1:8" x14ac:dyDescent="0.3">
      <c r="A5" s="2" t="s">
        <v>538</v>
      </c>
      <c r="B5" s="2" t="s">
        <v>539</v>
      </c>
      <c r="C5" s="4">
        <f>Balanco_Energia!B11</f>
        <v>5373.3137711825511</v>
      </c>
      <c r="D5" s="4" t="s">
        <v>6</v>
      </c>
      <c r="E5" s="4">
        <f>Premissas!B46</f>
        <v>0.18</v>
      </c>
      <c r="F5" s="4" t="s">
        <v>90</v>
      </c>
      <c r="G5" s="4">
        <f>C5*E5</f>
        <v>967.19647881285914</v>
      </c>
      <c r="H5" s="2" t="s">
        <v>540</v>
      </c>
    </row>
    <row r="6" spans="1:8" x14ac:dyDescent="0.3">
      <c r="A6" s="2" t="s">
        <v>541</v>
      </c>
      <c r="B6" s="2" t="s">
        <v>542</v>
      </c>
      <c r="C6" s="4">
        <f>Balanco_Energia!H8/Premissas!B20</f>
        <v>283.04609308218886</v>
      </c>
      <c r="D6" s="4" t="s">
        <v>6</v>
      </c>
      <c r="E6" s="4">
        <f>Premissas!B46</f>
        <v>0.18</v>
      </c>
      <c r="F6" s="4" t="s">
        <v>90</v>
      </c>
      <c r="G6" s="4">
        <f>C6*E6</f>
        <v>50.948296754793994</v>
      </c>
      <c r="H6" s="2" t="s">
        <v>543</v>
      </c>
    </row>
    <row r="7" spans="1:8" x14ac:dyDescent="0.3">
      <c r="A7" s="2" t="s">
        <v>544</v>
      </c>
      <c r="B7" s="2" t="s">
        <v>545</v>
      </c>
      <c r="C7" s="4">
        <f>(Balanco_Energia!H5+Balanco_Energia!H6)/(4.18*Premissas!B47)/1000</f>
        <v>444.57185549573614</v>
      </c>
      <c r="D7" s="4" t="s">
        <v>338</v>
      </c>
      <c r="E7" s="4">
        <f>Premissas!B48</f>
        <v>4</v>
      </c>
      <c r="F7" s="4" t="s">
        <v>99</v>
      </c>
      <c r="G7" s="4">
        <f>C7*E7</f>
        <v>1778.2874219829446</v>
      </c>
      <c r="H7" s="2" t="s">
        <v>546</v>
      </c>
    </row>
    <row r="8" spans="1:8" x14ac:dyDescent="0.3">
      <c r="A8" s="2" t="s">
        <v>547</v>
      </c>
      <c r="B8" s="2" t="s">
        <v>548</v>
      </c>
      <c r="C8" s="4">
        <f>Balanco_Energia!H7/1000</f>
        <v>1849.652408528003</v>
      </c>
      <c r="D8" s="4" t="s">
        <v>549</v>
      </c>
      <c r="E8" s="4">
        <f>Premissas!B50</f>
        <v>0.08</v>
      </c>
      <c r="F8" s="4" t="s">
        <v>102</v>
      </c>
      <c r="G8" s="4">
        <f>C8*E8</f>
        <v>147.97219268224023</v>
      </c>
      <c r="H8" s="2" t="s">
        <v>550</v>
      </c>
    </row>
    <row r="9" spans="1:8" x14ac:dyDescent="0.3">
      <c r="A9" s="2" t="s">
        <v>551</v>
      </c>
      <c r="B9" s="2" t="s">
        <v>552</v>
      </c>
      <c r="C9" s="4">
        <f>Fermentacao!B27/1000*Premissas!B52</f>
        <v>741.61632252345646</v>
      </c>
      <c r="D9" s="4" t="s">
        <v>553</v>
      </c>
      <c r="E9" s="4">
        <f>Premissas!B51</f>
        <v>0.75</v>
      </c>
      <c r="F9" s="4" t="s">
        <v>104</v>
      </c>
      <c r="G9" s="4">
        <f>C9*E9</f>
        <v>556.21224189259237</v>
      </c>
      <c r="H9" s="2" t="s">
        <v>554</v>
      </c>
    </row>
    <row r="10" spans="1:8" x14ac:dyDescent="0.3">
      <c r="A10" s="2" t="s">
        <v>555</v>
      </c>
      <c r="B10" s="2" t="s">
        <v>556</v>
      </c>
      <c r="C10" s="4">
        <f>Premissas!B53*Calculos_Produto!B6*Premissas!B29</f>
        <v>4722.5167877310705</v>
      </c>
      <c r="D10" s="4" t="s">
        <v>553</v>
      </c>
      <c r="E10" s="4">
        <f>Premissas!B51</f>
        <v>0.75</v>
      </c>
      <c r="F10" s="4" t="s">
        <v>104</v>
      </c>
      <c r="G10" s="4">
        <f>C10*E10</f>
        <v>3541.8875907983029</v>
      </c>
      <c r="H10" s="2" t="s">
        <v>557</v>
      </c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6" t="s">
        <v>558</v>
      </c>
      <c r="B12" s="6"/>
      <c r="C12" s="6"/>
      <c r="D12" s="6"/>
      <c r="E12" s="6"/>
      <c r="F12" s="6"/>
      <c r="G12" s="7">
        <f>SUM(G5:G10)</f>
        <v>7042.5042229237333</v>
      </c>
      <c r="H12" s="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4EAE-EE94-4C8F-9BE7-DE41DBC571A7}">
  <dimension ref="A1:H14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99.44140625" bestFit="1" customWidth="1"/>
    <col min="2" max="2" width="26.6640625" bestFit="1" customWidth="1"/>
    <col min="3" max="3" width="10.88671875" bestFit="1" customWidth="1"/>
    <col min="4" max="4" width="8.109375" bestFit="1" customWidth="1"/>
    <col min="5" max="5" width="12.77734375" bestFit="1" customWidth="1"/>
    <col min="6" max="6" width="13.21875" bestFit="1" customWidth="1"/>
    <col min="7" max="7" width="12" bestFit="1" customWidth="1"/>
    <col min="8" max="8" width="44.109375" bestFit="1" customWidth="1"/>
  </cols>
  <sheetData>
    <row r="1" spans="1:8" ht="18" x14ac:dyDescent="0.35">
      <c r="A1" s="1" t="s">
        <v>559</v>
      </c>
      <c r="B1" s="2"/>
      <c r="C1" s="2"/>
      <c r="D1" s="2"/>
      <c r="E1" s="2"/>
      <c r="F1" s="2"/>
      <c r="G1" s="2"/>
      <c r="H1" s="2"/>
    </row>
    <row r="2" spans="1:8" x14ac:dyDescent="0.3">
      <c r="A2" s="2" t="s">
        <v>560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3" t="s">
        <v>561</v>
      </c>
      <c r="B4" s="3" t="s">
        <v>562</v>
      </c>
      <c r="C4" s="3" t="s">
        <v>534</v>
      </c>
      <c r="D4" s="3" t="s">
        <v>3</v>
      </c>
      <c r="E4" s="3" t="s">
        <v>535</v>
      </c>
      <c r="F4" s="3" t="s">
        <v>536</v>
      </c>
      <c r="G4" s="3" t="s">
        <v>537</v>
      </c>
      <c r="H4" s="3" t="s">
        <v>563</v>
      </c>
    </row>
    <row r="5" spans="1:8" x14ac:dyDescent="0.3">
      <c r="A5" s="2" t="s">
        <v>564</v>
      </c>
      <c r="B5" s="2" t="s">
        <v>58</v>
      </c>
      <c r="C5" s="4">
        <f>Fermentacao!B6</f>
        <v>13835.498401555873</v>
      </c>
      <c r="D5" s="4" t="s">
        <v>6</v>
      </c>
      <c r="E5" s="4">
        <f>Premissas!B42</f>
        <v>2.5</v>
      </c>
      <c r="F5" s="4" t="s">
        <v>90</v>
      </c>
      <c r="G5" s="4">
        <f>C5*E5</f>
        <v>34588.746003889682</v>
      </c>
      <c r="H5" s="2" t="s">
        <v>565</v>
      </c>
    </row>
    <row r="6" spans="1:8" x14ac:dyDescent="0.3">
      <c r="A6" s="2" t="s">
        <v>564</v>
      </c>
      <c r="B6" s="2" t="s">
        <v>566</v>
      </c>
      <c r="C6" s="4">
        <f>Fermentacao!B10</f>
        <v>473.17901022498182</v>
      </c>
      <c r="D6" s="4" t="s">
        <v>6</v>
      </c>
      <c r="E6" s="4">
        <f>Premissas!B43</f>
        <v>18</v>
      </c>
      <c r="F6" s="4" t="s">
        <v>90</v>
      </c>
      <c r="G6" s="4">
        <f>C6*E6</f>
        <v>8517.2221840496732</v>
      </c>
      <c r="H6" s="2" t="s">
        <v>567</v>
      </c>
    </row>
    <row r="7" spans="1:8" x14ac:dyDescent="0.3">
      <c r="A7" s="2" t="s">
        <v>564</v>
      </c>
      <c r="B7" s="2" t="s">
        <v>568</v>
      </c>
      <c r="C7" s="4">
        <f>Fermentacao!B14</f>
        <v>173.72869420891701</v>
      </c>
      <c r="D7" s="4" t="s">
        <v>6</v>
      </c>
      <c r="E7" s="4">
        <f>Premissas!B44</f>
        <v>4.5</v>
      </c>
      <c r="F7" s="4" t="s">
        <v>90</v>
      </c>
      <c r="G7" s="4">
        <f>C7*E7</f>
        <v>781.77912394012651</v>
      </c>
      <c r="H7" s="2" t="s">
        <v>569</v>
      </c>
    </row>
    <row r="8" spans="1:8" x14ac:dyDescent="0.3">
      <c r="A8" s="2" t="s">
        <v>570</v>
      </c>
      <c r="B8" s="2" t="s">
        <v>571</v>
      </c>
      <c r="C8" s="4">
        <f>Correntes_PFD!F7*(1-Premissas!B41)</f>
        <v>289.00818883250071</v>
      </c>
      <c r="D8" s="4" t="s">
        <v>6</v>
      </c>
      <c r="E8" s="4">
        <f>Premissas!B45</f>
        <v>9</v>
      </c>
      <c r="F8" s="4" t="s">
        <v>90</v>
      </c>
      <c r="G8" s="4">
        <f>C8*E8</f>
        <v>2601.0736994925064</v>
      </c>
      <c r="H8" s="2" t="s">
        <v>572</v>
      </c>
    </row>
    <row r="9" spans="1:8" x14ac:dyDescent="0.3">
      <c r="A9" s="2" t="s">
        <v>573</v>
      </c>
      <c r="B9" s="2" t="s">
        <v>574</v>
      </c>
      <c r="C9" s="4">
        <f>Correntes_PFD!C5</f>
        <v>2213.6797442489396</v>
      </c>
      <c r="D9" s="4" t="s">
        <v>6</v>
      </c>
      <c r="E9" s="4">
        <f>Premissas!B54</f>
        <v>0.35</v>
      </c>
      <c r="F9" s="4" t="s">
        <v>90</v>
      </c>
      <c r="G9" s="4">
        <f>C9*E9</f>
        <v>774.78791048712878</v>
      </c>
      <c r="H9" s="2" t="s">
        <v>575</v>
      </c>
    </row>
    <row r="10" spans="1:8" x14ac:dyDescent="0.3">
      <c r="A10" s="2" t="s">
        <v>573</v>
      </c>
      <c r="B10" s="2" t="s">
        <v>576</v>
      </c>
      <c r="C10" s="4">
        <f>Correntes_PFD!C9+Correntes_PFD!C5</f>
        <v>24034.861797202044</v>
      </c>
      <c r="D10" s="4" t="s">
        <v>6</v>
      </c>
      <c r="E10" s="4">
        <f>Premissas!B55</f>
        <v>1.4999999999999999E-2</v>
      </c>
      <c r="F10" s="4" t="s">
        <v>90</v>
      </c>
      <c r="G10" s="4">
        <f>C10*E10</f>
        <v>360.52292695803067</v>
      </c>
      <c r="H10" s="2" t="s">
        <v>577</v>
      </c>
    </row>
    <row r="11" spans="1:8" x14ac:dyDescent="0.3">
      <c r="A11" s="2" t="s">
        <v>578</v>
      </c>
      <c r="B11" s="2" t="s">
        <v>558</v>
      </c>
      <c r="C11" s="4">
        <f>0</f>
        <v>0</v>
      </c>
      <c r="D11" s="4" t="s">
        <v>9</v>
      </c>
      <c r="E11" s="4">
        <f>0</f>
        <v>0</v>
      </c>
      <c r="F11" s="4" t="s">
        <v>9</v>
      </c>
      <c r="G11" s="4">
        <f>Utilidades!G12</f>
        <v>7042.5042229237333</v>
      </c>
      <c r="H11" s="2" t="s">
        <v>579</v>
      </c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6" t="s">
        <v>580</v>
      </c>
      <c r="B13" s="6"/>
      <c r="C13" s="6"/>
      <c r="D13" s="6"/>
      <c r="E13" s="6"/>
      <c r="F13" s="6"/>
      <c r="G13" s="7">
        <f>SUM(G5:G11)</f>
        <v>54666.636071740882</v>
      </c>
      <c r="H13" s="6"/>
    </row>
    <row r="14" spans="1:8" x14ac:dyDescent="0.3">
      <c r="A14" s="6" t="s">
        <v>581</v>
      </c>
      <c r="B14" s="6"/>
      <c r="C14" s="6"/>
      <c r="D14" s="6"/>
      <c r="E14" s="6"/>
      <c r="F14" s="6"/>
      <c r="G14" s="6">
        <f>G13/Premissas!B4</f>
        <v>54.666636071740882</v>
      </c>
      <c r="H14" s="6" t="s">
        <v>582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A775-85E4-4D6A-8AA1-D75CE6B7E79F}">
  <dimension ref="A1:AG20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65" bestFit="1" customWidth="1"/>
    <col min="2" max="2" width="8.33203125" bestFit="1" customWidth="1"/>
    <col min="3" max="3" width="15.88671875" bestFit="1" customWidth="1"/>
    <col min="4" max="4" width="10.109375" bestFit="1" customWidth="1"/>
    <col min="5" max="5" width="12.77734375" customWidth="1"/>
    <col min="6" max="6" width="12.6640625" bestFit="1" customWidth="1"/>
    <col min="7" max="7" width="12.109375" bestFit="1" customWidth="1"/>
    <col min="8" max="8" width="15.6640625" bestFit="1" customWidth="1"/>
    <col min="9" max="9" width="12.77734375" customWidth="1"/>
    <col min="10" max="10" width="6.109375" bestFit="1" customWidth="1"/>
    <col min="11" max="14" width="12.77734375" customWidth="1"/>
    <col min="15" max="15" width="9.88671875" bestFit="1" customWidth="1"/>
    <col min="16" max="19" width="12.77734375" customWidth="1"/>
    <col min="20" max="20" width="6.109375" bestFit="1" customWidth="1"/>
    <col min="21" max="24" width="12.77734375" customWidth="1"/>
    <col min="25" max="25" width="6.109375" bestFit="1" customWidth="1"/>
    <col min="26" max="33" width="12.77734375" customWidth="1"/>
  </cols>
  <sheetData>
    <row r="1" spans="1:33" ht="18" x14ac:dyDescent="0.35">
      <c r="A1" s="1" t="s">
        <v>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3">
      <c r="A2" s="2" t="s">
        <v>584</v>
      </c>
      <c r="B2" s="2"/>
      <c r="C2" s="2"/>
      <c r="D2" s="2"/>
      <c r="E2" s="2"/>
      <c r="F2" s="2"/>
      <c r="G2" s="2"/>
      <c r="H2" s="2"/>
      <c r="I2" s="2"/>
      <c r="J2" s="2"/>
      <c r="K2" s="2"/>
      <c r="L2" s="8" t="s">
        <v>597</v>
      </c>
      <c r="M2" s="8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8"/>
      <c r="M3" s="8"/>
      <c r="N3" s="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28.0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28.05" customHeight="1" x14ac:dyDescent="0.3">
      <c r="A5" s="2"/>
      <c r="B5" s="9" t="s">
        <v>585</v>
      </c>
      <c r="C5" s="9"/>
      <c r="D5" s="9"/>
      <c r="E5" s="2"/>
      <c r="F5" s="2"/>
      <c r="G5" s="9" t="s">
        <v>586</v>
      </c>
      <c r="H5" s="9"/>
      <c r="I5" s="9"/>
      <c r="J5" s="2"/>
      <c r="K5" s="2"/>
      <c r="L5" s="9" t="s">
        <v>587</v>
      </c>
      <c r="M5" s="9"/>
      <c r="N5" s="9"/>
      <c r="O5" s="2"/>
      <c r="P5" s="2"/>
      <c r="Q5" s="9" t="s">
        <v>588</v>
      </c>
      <c r="R5" s="9"/>
      <c r="S5" s="9"/>
      <c r="T5" s="2"/>
      <c r="U5" s="2"/>
      <c r="V5" s="9" t="s">
        <v>589</v>
      </c>
      <c r="W5" s="9"/>
      <c r="X5" s="9"/>
      <c r="Y5" s="2"/>
      <c r="Z5" s="2"/>
      <c r="AA5" s="9" t="s">
        <v>590</v>
      </c>
      <c r="AB5" s="9"/>
      <c r="AC5" s="9"/>
      <c r="AD5" s="2"/>
      <c r="AE5" s="2"/>
      <c r="AF5" s="2"/>
      <c r="AG5" s="2"/>
    </row>
    <row r="6" spans="1:33" ht="28.05" customHeight="1" x14ac:dyDescent="0.3">
      <c r="A6" s="2"/>
      <c r="B6" s="9"/>
      <c r="C6" s="9"/>
      <c r="D6" s="9"/>
      <c r="E6" s="2" t="s">
        <v>591</v>
      </c>
      <c r="F6" s="2"/>
      <c r="G6" s="9"/>
      <c r="H6" s="9"/>
      <c r="I6" s="9"/>
      <c r="J6" s="2" t="s">
        <v>592</v>
      </c>
      <c r="K6" s="2"/>
      <c r="L6" s="9"/>
      <c r="M6" s="9"/>
      <c r="N6" s="9"/>
      <c r="O6" s="2" t="s">
        <v>593</v>
      </c>
      <c r="P6" s="2"/>
      <c r="Q6" s="9"/>
      <c r="R6" s="9"/>
      <c r="S6" s="9"/>
      <c r="T6" s="2" t="s">
        <v>594</v>
      </c>
      <c r="U6" s="2"/>
      <c r="V6" s="9"/>
      <c r="W6" s="9"/>
      <c r="X6" s="9"/>
      <c r="Y6" s="2" t="s">
        <v>595</v>
      </c>
      <c r="Z6" s="2"/>
      <c r="AA6" s="9"/>
      <c r="AB6" s="9"/>
      <c r="AC6" s="9"/>
      <c r="AD6" s="2"/>
      <c r="AE6" s="2"/>
      <c r="AF6" s="2"/>
      <c r="AG6" s="2"/>
    </row>
    <row r="7" spans="1:33" ht="28.05" customHeight="1" x14ac:dyDescent="0.3">
      <c r="A7" s="2"/>
      <c r="B7" s="9"/>
      <c r="C7" s="9"/>
      <c r="D7" s="9"/>
      <c r="E7" s="2"/>
      <c r="F7" s="2"/>
      <c r="G7" s="9"/>
      <c r="H7" s="9"/>
      <c r="I7" s="9"/>
      <c r="J7" s="2"/>
      <c r="K7" s="2"/>
      <c r="L7" s="9"/>
      <c r="M7" s="9"/>
      <c r="N7" s="9"/>
      <c r="O7" s="2"/>
      <c r="P7" s="2"/>
      <c r="Q7" s="9"/>
      <c r="R7" s="9"/>
      <c r="S7" s="9"/>
      <c r="T7" s="2"/>
      <c r="U7" s="2"/>
      <c r="V7" s="9"/>
      <c r="W7" s="9"/>
      <c r="X7" s="9"/>
      <c r="Y7" s="2"/>
      <c r="Z7" s="2"/>
      <c r="AA7" s="9"/>
      <c r="AB7" s="9"/>
      <c r="AC7" s="9"/>
      <c r="AD7" s="2"/>
      <c r="AE7" s="2"/>
      <c r="AF7" s="2"/>
      <c r="AG7" s="2"/>
    </row>
    <row r="8" spans="1:33" ht="28.0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28.0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28.05" customHeight="1" x14ac:dyDescent="0.3">
      <c r="A10" s="2"/>
      <c r="B10" s="2"/>
      <c r="C10" s="2"/>
      <c r="D10" s="2"/>
      <c r="E10" s="2"/>
      <c r="F10" s="2"/>
      <c r="G10" s="8" t="s">
        <v>596</v>
      </c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" t="s">
        <v>598</v>
      </c>
      <c r="W10" s="8"/>
      <c r="X10" s="8"/>
      <c r="Y10" s="2"/>
      <c r="Z10" s="2"/>
      <c r="AA10" s="8" t="s">
        <v>599</v>
      </c>
      <c r="AB10" s="8"/>
      <c r="AC10" s="8"/>
      <c r="AD10" s="2"/>
      <c r="AE10" s="8" t="s">
        <v>600</v>
      </c>
      <c r="AF10" s="8"/>
      <c r="AG10" s="8"/>
    </row>
    <row r="11" spans="1:33" ht="28.05" customHeight="1" x14ac:dyDescent="0.3">
      <c r="A11" s="2"/>
      <c r="B11" s="2"/>
      <c r="C11" s="2"/>
      <c r="D11" s="2"/>
      <c r="E11" s="2"/>
      <c r="F11" s="2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8"/>
      <c r="W11" s="8"/>
      <c r="X11" s="8"/>
      <c r="Y11" s="2"/>
      <c r="Z11" s="2"/>
      <c r="AA11" s="8"/>
      <c r="AB11" s="8"/>
      <c r="AC11" s="8"/>
      <c r="AD11" s="2"/>
      <c r="AE11" s="8"/>
      <c r="AF11" s="8"/>
      <c r="AG11" s="8"/>
    </row>
    <row r="12" spans="1:33" ht="28.05" customHeight="1" x14ac:dyDescent="0.3">
      <c r="A12" s="2"/>
      <c r="B12" s="2"/>
      <c r="C12" s="2"/>
      <c r="D12" s="2"/>
      <c r="E12" s="2"/>
      <c r="F12" s="2"/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8"/>
      <c r="W12" s="8"/>
      <c r="X12" s="8"/>
      <c r="Y12" s="2"/>
      <c r="Z12" s="2"/>
      <c r="AA12" s="8"/>
      <c r="AB12" s="8"/>
      <c r="AC12" s="8"/>
      <c r="AD12" s="2"/>
      <c r="AE12" s="8"/>
      <c r="AF12" s="8"/>
      <c r="AG12" s="8"/>
    </row>
    <row r="13" spans="1:33" ht="28.0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28.0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28.05" customHeight="1" x14ac:dyDescent="0.3">
      <c r="A15" s="2"/>
      <c r="B15" s="3" t="s">
        <v>170</v>
      </c>
      <c r="C15" s="3" t="s">
        <v>113</v>
      </c>
      <c r="D15" s="3" t="s">
        <v>199</v>
      </c>
      <c r="E15" s="3" t="s">
        <v>172</v>
      </c>
      <c r="F15" s="3" t="s">
        <v>173</v>
      </c>
      <c r="G15" s="3" t="s">
        <v>174</v>
      </c>
      <c r="H15" s="3" t="s">
        <v>601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28.05" customHeight="1" x14ac:dyDescent="0.3">
      <c r="A16" s="2"/>
      <c r="B16" s="2">
        <f>Correntes_PFD!A4</f>
        <v>101</v>
      </c>
      <c r="C16" s="2" t="str">
        <f>Correntes_PFD!B4</f>
        <v>Caldo fermentado</v>
      </c>
      <c r="D16" s="4">
        <f>Correntes_PFD!C4</f>
        <v>25334.334850848976</v>
      </c>
      <c r="E16" s="4">
        <f>Correntes_PFD!D4</f>
        <v>1106.8398721244698</v>
      </c>
      <c r="F16" s="4">
        <f>Correntes_PFD!E4</f>
        <v>442.73594884978792</v>
      </c>
      <c r="G16" s="4">
        <f>Correntes_PFD!F4</f>
        <v>0</v>
      </c>
      <c r="H16" s="4">
        <f>Correntes_PFD!G4</f>
        <v>23784.759029874716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28.05" customHeight="1" x14ac:dyDescent="0.3">
      <c r="A17" s="2"/>
      <c r="B17" s="2">
        <f>Correntes_PFD!A13</f>
        <v>110</v>
      </c>
      <c r="C17" s="2" t="str">
        <f>Correntes_PFD!B13</f>
        <v>Produto final</v>
      </c>
      <c r="D17" s="4">
        <f>Correntes_PFD!C13</f>
        <v>1010.1010101010102</v>
      </c>
      <c r="E17" s="4">
        <f>Correntes_PFD!D13</f>
        <v>1000</v>
      </c>
      <c r="F17" s="4">
        <f>Correntes_PFD!E13</f>
        <v>0</v>
      </c>
      <c r="G17" s="4">
        <f>Correntes_PFD!F13</f>
        <v>0</v>
      </c>
      <c r="H17" s="4">
        <f>Correntes_PFD!G13</f>
        <v>10.101010101010161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28.0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28.0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28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</sheetData>
  <mergeCells count="11">
    <mergeCell ref="G10:I12"/>
    <mergeCell ref="L2:N4"/>
    <mergeCell ref="V10:X12"/>
    <mergeCell ref="AA10:AC12"/>
    <mergeCell ref="AE10:AG12"/>
    <mergeCell ref="B5:D7"/>
    <mergeCell ref="G5:I7"/>
    <mergeCell ref="L5:N7"/>
    <mergeCell ref="Q5:S7"/>
    <mergeCell ref="V5:X7"/>
    <mergeCell ref="AA5:AC7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7A8C-3019-43D4-9049-0FB84DF7B2B4}">
  <dimension ref="A1:F21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113" bestFit="1" customWidth="1"/>
    <col min="2" max="2" width="35.88671875" bestFit="1" customWidth="1"/>
    <col min="3" max="4" width="6.88671875" bestFit="1" customWidth="1"/>
    <col min="5" max="5" width="13.88671875" bestFit="1" customWidth="1"/>
    <col min="6" max="6" width="42.21875" bestFit="1" customWidth="1"/>
  </cols>
  <sheetData>
    <row r="1" spans="1:6" ht="18" x14ac:dyDescent="0.35">
      <c r="A1" s="1" t="s">
        <v>617</v>
      </c>
      <c r="B1" s="2"/>
      <c r="C1" s="2"/>
      <c r="D1" s="2"/>
      <c r="E1" s="2"/>
      <c r="F1" s="2"/>
    </row>
    <row r="2" spans="1:6" x14ac:dyDescent="0.3">
      <c r="A2" s="10" t="s">
        <v>618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619</v>
      </c>
      <c r="B4" s="3" t="s">
        <v>620</v>
      </c>
      <c r="C4" s="3" t="s">
        <v>621</v>
      </c>
      <c r="D4" s="3" t="s">
        <v>622</v>
      </c>
      <c r="E4" s="3" t="s">
        <v>3</v>
      </c>
      <c r="F4" s="3" t="s">
        <v>4</v>
      </c>
    </row>
    <row r="5" spans="1:6" x14ac:dyDescent="0.3">
      <c r="A5" s="2" t="s">
        <v>623</v>
      </c>
      <c r="B5" s="2" t="s">
        <v>624</v>
      </c>
      <c r="C5" s="4">
        <f>Premissas!B4</f>
        <v>1000</v>
      </c>
      <c r="D5" s="4"/>
      <c r="E5" s="2" t="s">
        <v>625</v>
      </c>
      <c r="F5" s="2" t="s">
        <v>626</v>
      </c>
    </row>
    <row r="6" spans="1:6" x14ac:dyDescent="0.3">
      <c r="A6" s="2" t="s">
        <v>469</v>
      </c>
      <c r="B6" s="2" t="s">
        <v>627</v>
      </c>
      <c r="C6" s="11">
        <f>KPIs!B4</f>
        <v>0.90347305439999981</v>
      </c>
      <c r="D6" s="4"/>
      <c r="E6" s="2" t="s">
        <v>605</v>
      </c>
      <c r="F6" s="2" t="s">
        <v>628</v>
      </c>
    </row>
    <row r="7" spans="1:6" x14ac:dyDescent="0.3">
      <c r="A7" s="2" t="s">
        <v>629</v>
      </c>
      <c r="B7" s="2" t="s">
        <v>630</v>
      </c>
      <c r="C7" s="4">
        <f>KPIs!B6</f>
        <v>24.596441602765996</v>
      </c>
      <c r="D7" s="4"/>
      <c r="E7" s="2" t="s">
        <v>338</v>
      </c>
      <c r="F7" s="2" t="s">
        <v>631</v>
      </c>
    </row>
    <row r="8" spans="1:6" x14ac:dyDescent="0.3">
      <c r="A8" s="2" t="s">
        <v>476</v>
      </c>
      <c r="B8" s="2" t="s">
        <v>606</v>
      </c>
      <c r="C8" s="4">
        <f>KPIs!B7</f>
        <v>442.73594884978792</v>
      </c>
      <c r="D8" s="4"/>
      <c r="E8" s="2" t="s">
        <v>6</v>
      </c>
      <c r="F8" s="2" t="s">
        <v>632</v>
      </c>
    </row>
    <row r="9" spans="1:6" x14ac:dyDescent="0.3">
      <c r="A9" s="2" t="s">
        <v>633</v>
      </c>
      <c r="B9" s="2" t="s">
        <v>634</v>
      </c>
      <c r="C9" s="4">
        <f>KPIs!B9</f>
        <v>5373.3137711825511</v>
      </c>
      <c r="D9" s="4"/>
      <c r="E9" s="2" t="s">
        <v>6</v>
      </c>
      <c r="F9" s="2" t="s">
        <v>635</v>
      </c>
    </row>
    <row r="10" spans="1:6" x14ac:dyDescent="0.3">
      <c r="A10" s="2" t="s">
        <v>633</v>
      </c>
      <c r="B10" s="2" t="s">
        <v>636</v>
      </c>
      <c r="C10" s="4">
        <f>KPIs!B11</f>
        <v>20432.75596824977</v>
      </c>
      <c r="D10" s="4"/>
      <c r="E10" s="2" t="s">
        <v>549</v>
      </c>
      <c r="F10" s="2" t="s">
        <v>637</v>
      </c>
    </row>
    <row r="11" spans="1:6" x14ac:dyDescent="0.3">
      <c r="A11" s="2" t="s">
        <v>391</v>
      </c>
      <c r="B11" s="2" t="s">
        <v>638</v>
      </c>
      <c r="C11" s="4">
        <f>KPIs!B12</f>
        <v>17169.989680842278</v>
      </c>
      <c r="D11" s="4">
        <f>KPIs!B13</f>
        <v>41200.906806858693</v>
      </c>
      <c r="E11" s="2" t="s">
        <v>639</v>
      </c>
      <c r="F11" s="2" t="s">
        <v>640</v>
      </c>
    </row>
    <row r="12" spans="1:6" x14ac:dyDescent="0.3">
      <c r="A12" s="2" t="s">
        <v>641</v>
      </c>
      <c r="B12" s="2" t="s">
        <v>642</v>
      </c>
      <c r="C12" s="4">
        <f>KPIs!B16</f>
        <v>54666.636071740882</v>
      </c>
      <c r="D12" s="4">
        <f>KPIs!B17</f>
        <v>54.666636071740882</v>
      </c>
      <c r="E12" s="2" t="s">
        <v>643</v>
      </c>
      <c r="F12" s="2" t="s">
        <v>644</v>
      </c>
    </row>
    <row r="13" spans="1:6" x14ac:dyDescent="0.3">
      <c r="A13" s="2" t="s">
        <v>645</v>
      </c>
      <c r="B13" s="2" t="s">
        <v>646</v>
      </c>
      <c r="C13" s="4">
        <f>COUNTIF(Verificacoes!E4:E12,"OK")</f>
        <v>9</v>
      </c>
      <c r="D13" s="4">
        <f>ROWS(Verificacoes!E4:E12)</f>
        <v>9</v>
      </c>
      <c r="E13" s="2" t="s">
        <v>647</v>
      </c>
      <c r="F13" s="2" t="s">
        <v>648</v>
      </c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10" t="s">
        <v>649</v>
      </c>
      <c r="B16" s="2"/>
      <c r="C16" s="2"/>
      <c r="D16" s="2"/>
      <c r="E16" s="2"/>
      <c r="F16" s="2"/>
    </row>
    <row r="17" spans="1:6" ht="273.60000000000002" x14ac:dyDescent="0.3">
      <c r="A17" s="12" t="str">
        <f>"Para produzir "&amp;FIXED(Premissas!B4,0,TRUE)&amp;" kg de Penicilina G seca, o modelo exige aproximadamente "&amp;FIXED(KPIs!B6,2,TRUE)&amp;" m3 de caldo fermentado e "&amp;FIXED(KPIs!B7,1,TRUE)&amp;" kg de biomassa seca gerada."</f>
        <v>Para produzir 1000 kg de Penicilina G seca, o modelo exige aproximadamente 24,60 m3 de caldo fermentado e 442,7 kg de biomassa seca gerada.</v>
      </c>
      <c r="B17" s="2"/>
      <c r="C17" s="2"/>
      <c r="D17" s="2"/>
      <c r="E17" s="2"/>
      <c r="F17" s="2"/>
    </row>
    <row r="18" spans="1:6" ht="302.39999999999998" x14ac:dyDescent="0.3">
      <c r="A18" s="12" t="str">
        <f>"A recuperacao global estimada do processo e de "&amp;FIXED(100*KPIs!B4,1,TRUE)&amp;"%, indicando que a principal atencao do projeto deve estar no desempenho do downstream."</f>
        <v>A recuperacao global estimada do processo e de 90,3%, indicando que a principal atencao do projeto deve estar no desempenho do downstream.</v>
      </c>
      <c r="B18" s="2"/>
      <c r="C18" s="2"/>
      <c r="D18" s="2"/>
      <c r="E18" s="2"/>
      <c r="F18" s="2"/>
    </row>
    <row r="19" spans="1:6" ht="187.2" x14ac:dyDescent="0.3">
      <c r="A19" s="12" t="str">
        <f>"Do ponto de vista energetico, o processo requer cerca de "&amp;FIXED(KPIs!B9,1,TRUE)&amp;" kg de vapor e "&amp;FIXED(KPIs!B11,1,TRUE)&amp;" MJ de resfriamento total."</f>
        <v>Do ponto de vista energetico, o processo requer cerca de 5373,3 kg de vapor e 20432,8 MJ de resfriamento total.</v>
      </c>
      <c r="B19" s="2"/>
      <c r="C19" s="2"/>
      <c r="D19" s="2"/>
      <c r="E19" s="2"/>
      <c r="F19" s="2"/>
    </row>
    <row r="20" spans="1:6" ht="244.8" x14ac:dyDescent="0.3">
      <c r="A20" s="12" t="str">
        <f>"Do ponto de vista economico, o custo operacional conceitual desta campanha e de R$ "&amp;FIXED(KPIs!B16,2,TRUE)&amp;", equivalente a R$ "&amp;FIXED(KPIs!B17,2,TRUE)&amp;" por kg de produto."</f>
        <v>Do ponto de vista economico, o custo operacional conceitual desta campanha e de R$ 54666,64, equivalente a R$ 54,67 por kg de produto.</v>
      </c>
      <c r="B20" s="2"/>
      <c r="C20" s="2"/>
      <c r="D20" s="2"/>
      <c r="E20" s="2"/>
      <c r="F20" s="2"/>
    </row>
    <row r="21" spans="1:6" ht="187.2" x14ac:dyDescent="0.3">
      <c r="A21" s="12" t="str">
        <f>"A base esta consistente no nivel conceitual: "&amp;COUNTIF(Verificacoes!E4:E12,"OK")&amp;" de "&amp;ROWS(Verificacoes!E4:E12)&amp;" verificacoes automaticas ficaram em OK."</f>
        <v>A base esta consistente no nivel conceitual: 9 de 9 verificacoes automaticas ficaram em OK.</v>
      </c>
      <c r="B21" s="2"/>
      <c r="C21" s="2"/>
      <c r="D21" s="2"/>
      <c r="E21" s="2"/>
      <c r="F21" s="2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358-63A7-4A70-8F9B-408634E7DDCC}">
  <dimension ref="A1:C19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24.33203125" bestFit="1" customWidth="1"/>
    <col min="2" max="2" width="6.5546875" bestFit="1" customWidth="1"/>
    <col min="3" max="3" width="8.109375" bestFit="1" customWidth="1"/>
  </cols>
  <sheetData>
    <row r="1" spans="1:3" ht="18" x14ac:dyDescent="0.35">
      <c r="A1" s="1" t="s">
        <v>602</v>
      </c>
      <c r="B1" s="2"/>
      <c r="C1" s="2"/>
    </row>
    <row r="2" spans="1:3" x14ac:dyDescent="0.3">
      <c r="A2" s="2"/>
      <c r="B2" s="2"/>
      <c r="C2" s="2"/>
    </row>
    <row r="3" spans="1:3" x14ac:dyDescent="0.3">
      <c r="A3" s="3" t="s">
        <v>603</v>
      </c>
      <c r="B3" s="3" t="s">
        <v>2</v>
      </c>
      <c r="C3" s="3" t="s">
        <v>3</v>
      </c>
    </row>
    <row r="4" spans="1:3" x14ac:dyDescent="0.3">
      <c r="A4" s="2" t="s">
        <v>604</v>
      </c>
      <c r="B4" s="11">
        <f>Calculos_Produto!B16/Calculos_Produto!B5</f>
        <v>0.90347305439999981</v>
      </c>
      <c r="C4" s="2" t="s">
        <v>605</v>
      </c>
    </row>
    <row r="5" spans="1:3" x14ac:dyDescent="0.3">
      <c r="A5" s="2" t="s">
        <v>330</v>
      </c>
      <c r="B5" s="4">
        <f>Calculos_Produto!B5</f>
        <v>1106.8398721244698</v>
      </c>
      <c r="C5" s="2" t="s">
        <v>6</v>
      </c>
    </row>
    <row r="6" spans="1:3" x14ac:dyDescent="0.3">
      <c r="A6" s="2" t="s">
        <v>336</v>
      </c>
      <c r="B6" s="4">
        <f>Calculos_Produto!B6</f>
        <v>24.596441602765996</v>
      </c>
      <c r="C6" s="2" t="s">
        <v>338</v>
      </c>
    </row>
    <row r="7" spans="1:3" x14ac:dyDescent="0.3">
      <c r="A7" s="2" t="s">
        <v>606</v>
      </c>
      <c r="B7" s="4">
        <f>Calculos_Produto!B8</f>
        <v>442.73594884978792</v>
      </c>
      <c r="C7" s="2" t="s">
        <v>6</v>
      </c>
    </row>
    <row r="8" spans="1:3" x14ac:dyDescent="0.3">
      <c r="A8" s="2" t="s">
        <v>607</v>
      </c>
      <c r="B8" s="4">
        <f>Calculos_Produto!B17</f>
        <v>106.83987212446982</v>
      </c>
      <c r="C8" s="2" t="s">
        <v>6</v>
      </c>
    </row>
    <row r="9" spans="1:3" x14ac:dyDescent="0.3">
      <c r="A9" s="2" t="s">
        <v>372</v>
      </c>
      <c r="B9" s="4">
        <f>Balanco_Energia!B11</f>
        <v>5373.3137711825511</v>
      </c>
      <c r="C9" s="2" t="s">
        <v>6</v>
      </c>
    </row>
    <row r="10" spans="1:3" x14ac:dyDescent="0.3">
      <c r="A10" s="2" t="s">
        <v>608</v>
      </c>
      <c r="B10" s="4">
        <f>(Balanco_Energia!H4+Balanco_Energia!H8)/1000</f>
        <v>10331.272760991071</v>
      </c>
      <c r="C10" s="2" t="s">
        <v>549</v>
      </c>
    </row>
    <row r="11" spans="1:3" x14ac:dyDescent="0.3">
      <c r="A11" s="2" t="s">
        <v>609</v>
      </c>
      <c r="B11" s="4">
        <f>(Balanco_Energia!H5+Balanco_Energia!H6+Balanco_Energia!H7)/1000</f>
        <v>20432.75596824977</v>
      </c>
      <c r="C11" s="2" t="s">
        <v>549</v>
      </c>
    </row>
    <row r="12" spans="1:3" x14ac:dyDescent="0.3">
      <c r="A12" s="2" t="s">
        <v>414</v>
      </c>
      <c r="B12" s="4">
        <f>Fermentacao!B21</f>
        <v>17169.989680842278</v>
      </c>
      <c r="C12" s="2" t="s">
        <v>6</v>
      </c>
    </row>
    <row r="13" spans="1:3" x14ac:dyDescent="0.3">
      <c r="A13" s="2" t="s">
        <v>610</v>
      </c>
      <c r="B13" s="4">
        <f>Fermentacao!B27</f>
        <v>41200.906806858693</v>
      </c>
      <c r="C13" s="2" t="s">
        <v>427</v>
      </c>
    </row>
    <row r="14" spans="1:3" x14ac:dyDescent="0.3">
      <c r="A14" s="2" t="s">
        <v>611</v>
      </c>
      <c r="B14" s="4">
        <f>Calculos_Produto!B6/Premissas!B4</f>
        <v>2.4596441602765997E-2</v>
      </c>
      <c r="C14" s="2" t="s">
        <v>612</v>
      </c>
    </row>
    <row r="15" spans="1:3" x14ac:dyDescent="0.3">
      <c r="A15" s="2" t="s">
        <v>613</v>
      </c>
      <c r="B15" s="4">
        <f>Calculos_Produto!B8/Premissas!B4</f>
        <v>0.4427359488497879</v>
      </c>
      <c r="C15" s="2" t="s">
        <v>54</v>
      </c>
    </row>
    <row r="16" spans="1:3" x14ac:dyDescent="0.3">
      <c r="A16" s="2" t="s">
        <v>614</v>
      </c>
      <c r="B16" s="4">
        <f>Custos!G13</f>
        <v>54666.636071740882</v>
      </c>
      <c r="C16" s="2" t="s">
        <v>447</v>
      </c>
    </row>
    <row r="17" spans="1:3" x14ac:dyDescent="0.3">
      <c r="A17" s="2" t="s">
        <v>615</v>
      </c>
      <c r="B17" s="4">
        <f>Custos!G14</f>
        <v>54.666636071740882</v>
      </c>
      <c r="C17" s="2" t="s">
        <v>90</v>
      </c>
    </row>
    <row r="18" spans="1:3" x14ac:dyDescent="0.3">
      <c r="A18" s="2" t="s">
        <v>524</v>
      </c>
      <c r="B18" s="4">
        <f>Custos!C8</f>
        <v>289.00818883250071</v>
      </c>
      <c r="C18" s="2" t="s">
        <v>6</v>
      </c>
    </row>
    <row r="19" spans="1:3" x14ac:dyDescent="0.3">
      <c r="A19" s="2" t="s">
        <v>616</v>
      </c>
      <c r="B19" s="4">
        <f>Utilidades!G12</f>
        <v>7042.5042229237333</v>
      </c>
      <c r="C19" s="2" t="s">
        <v>447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F069-5F90-4D6E-9EA6-7D0A7FF665F0}">
  <dimension ref="A1:U18"/>
  <sheetViews>
    <sheetView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82.109375" bestFit="1" customWidth="1"/>
    <col min="18" max="18" width="12" bestFit="1" customWidth="1"/>
    <col min="21" max="21" width="12" bestFit="1" customWidth="1"/>
  </cols>
  <sheetData>
    <row r="1" spans="1:21" ht="18" x14ac:dyDescent="0.35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10" t="s">
        <v>651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>
        <f>Premissas!B4</f>
        <v>1000</v>
      </c>
      <c r="S2" s="2"/>
      <c r="T2" s="3"/>
      <c r="U2" s="3">
        <f>Custos!G5</f>
        <v>34588.746003889682</v>
      </c>
    </row>
    <row r="3" spans="1:2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f>Calculos_Produto!B8</f>
        <v>442.73594884978792</v>
      </c>
      <c r="S3" s="2"/>
      <c r="T3" s="2"/>
      <c r="U3" s="2">
        <f>Custos!G6</f>
        <v>8517.2221840496732</v>
      </c>
    </row>
    <row r="4" spans="1:21" x14ac:dyDescent="0.3">
      <c r="A4" s="13" t="str">
        <f>"Recuperacao Global"&amp;CHAR(10)&amp;FIXED(100*KPIs!B4,1,TRUE)&amp;"%"</f>
        <v>Recuperacao Global
90,3%</v>
      </c>
      <c r="B4" s="13"/>
      <c r="C4" s="13"/>
      <c r="D4" s="2"/>
      <c r="E4" s="13" t="str">
        <f>"Penicilina no Caldo"&amp;CHAR(10)&amp;FIXED(KPIs!B5,1,TRUE)&amp;" kg"</f>
        <v>Penicilina no Caldo
1106,8 kg</v>
      </c>
      <c r="F4" s="13"/>
      <c r="G4" s="13"/>
      <c r="H4" s="2"/>
      <c r="I4" s="13" t="str">
        <f>"Volume de Caldo"&amp;CHAR(10)&amp;FIXED(KPIs!B6,2,TRUE)&amp;" m3"</f>
        <v>Volume de Caldo
24,60 m3</v>
      </c>
      <c r="J4" s="13"/>
      <c r="K4" s="13"/>
      <c r="L4" s="2"/>
      <c r="M4" s="13" t="str">
        <f>"Custo Especifico"&amp;CHAR(10)&amp;"R$ "&amp;FIXED(KPIs!B17,2,TRUE)&amp;"/kg"</f>
        <v>Custo Especifico
R$ 54,67/kg</v>
      </c>
      <c r="N4" s="13"/>
      <c r="O4" s="13"/>
      <c r="P4" s="2"/>
      <c r="Q4" s="2"/>
      <c r="R4" s="2">
        <f>Secagem!B9</f>
        <v>241.15527130602493</v>
      </c>
      <c r="S4" s="2"/>
      <c r="T4" s="2"/>
      <c r="U4" s="2">
        <f>Custos!G7</f>
        <v>781.77912394012651</v>
      </c>
    </row>
    <row r="5" spans="1:21" x14ac:dyDescent="0.3">
      <c r="A5" s="13"/>
      <c r="B5" s="13"/>
      <c r="C5" s="13"/>
      <c r="D5" s="2"/>
      <c r="E5" s="13"/>
      <c r="F5" s="13"/>
      <c r="G5" s="13"/>
      <c r="H5" s="2"/>
      <c r="I5" s="13"/>
      <c r="J5" s="13"/>
      <c r="K5" s="13"/>
      <c r="L5" s="2"/>
      <c r="M5" s="13"/>
      <c r="N5" s="13"/>
      <c r="O5" s="13"/>
      <c r="P5" s="2"/>
      <c r="Q5" s="2"/>
      <c r="R5" s="2">
        <f>Calculos_Produto!B17</f>
        <v>106.83987212446982</v>
      </c>
      <c r="S5" s="2"/>
      <c r="T5" s="2"/>
      <c r="U5" s="2">
        <f>Custos!G8</f>
        <v>2601.0736994925064</v>
      </c>
    </row>
    <row r="6" spans="1:21" x14ac:dyDescent="0.3">
      <c r="A6" s="13"/>
      <c r="B6" s="13"/>
      <c r="C6" s="13"/>
      <c r="D6" s="2"/>
      <c r="E6" s="13"/>
      <c r="F6" s="13"/>
      <c r="G6" s="13"/>
      <c r="H6" s="2"/>
      <c r="I6" s="13"/>
      <c r="J6" s="13"/>
      <c r="K6" s="13"/>
      <c r="L6" s="2"/>
      <c r="M6" s="13"/>
      <c r="N6" s="13"/>
      <c r="O6" s="13"/>
      <c r="P6" s="2"/>
      <c r="Q6" s="2"/>
      <c r="R6" s="2"/>
      <c r="S6" s="2"/>
      <c r="T6" s="2"/>
      <c r="U6" s="2">
        <f>Custos!G9+Custos!G10</f>
        <v>1135.3108374451594</v>
      </c>
    </row>
    <row r="7" spans="1:21" x14ac:dyDescent="0.3">
      <c r="A7" s="13"/>
      <c r="B7" s="13"/>
      <c r="C7" s="13"/>
      <c r="D7" s="2"/>
      <c r="E7" s="13"/>
      <c r="F7" s="13"/>
      <c r="G7" s="13"/>
      <c r="H7" s="2"/>
      <c r="I7" s="13"/>
      <c r="J7" s="13"/>
      <c r="K7" s="13"/>
      <c r="L7" s="2"/>
      <c r="M7" s="13"/>
      <c r="N7" s="13"/>
      <c r="O7" s="13"/>
      <c r="P7" s="2"/>
      <c r="Q7" s="2"/>
      <c r="R7" s="2"/>
      <c r="S7" s="2"/>
      <c r="T7" s="2"/>
      <c r="U7" s="2">
        <f>Custos!G11</f>
        <v>7042.5042229237333</v>
      </c>
    </row>
    <row r="8" spans="1:2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3">
      <c r="A9" s="14" t="str">
        <f>"Vapor Real"&amp;CHAR(10)&amp;FIXED(KPIs!B9,1,TRUE)&amp;" kg"</f>
        <v>Vapor Real
5373,3 kg</v>
      </c>
      <c r="B9" s="14"/>
      <c r="C9" s="14"/>
      <c r="D9" s="2"/>
      <c r="E9" s="14" t="str">
        <f>"Resfriamento Total"&amp;CHAR(10)&amp;FIXED(KPIs!B11,1,TRUE)&amp;" MJ"</f>
        <v>Resfriamento Total
20432,8 MJ</v>
      </c>
      <c r="F9" s="14"/>
      <c r="G9" s="14"/>
      <c r="H9" s="2"/>
      <c r="I9" s="14" t="str">
        <f>"CO2 Gerado"&amp;CHAR(10)&amp;FIXED(KPIs!B12,1,TRUE)&amp;" kg"</f>
        <v>CO2 Gerado
17170,0 kg</v>
      </c>
      <c r="J9" s="14"/>
      <c r="K9" s="14"/>
      <c r="L9" s="2"/>
      <c r="M9" s="14" t="str">
        <f>"Ar Total"&amp;CHAR(10)&amp;FIXED(KPIs!B13,1,TRUE)&amp;" Nm3"</f>
        <v>Ar Total
41200,9 Nm3</v>
      </c>
      <c r="N9" s="14"/>
      <c r="O9" s="14"/>
      <c r="P9" s="2"/>
      <c r="Q9" s="2"/>
      <c r="R9" s="2"/>
      <c r="S9" s="2"/>
      <c r="T9" s="2"/>
      <c r="U9" s="2"/>
    </row>
    <row r="10" spans="1:21" x14ac:dyDescent="0.3">
      <c r="A10" s="14"/>
      <c r="B10" s="14"/>
      <c r="C10" s="14"/>
      <c r="D10" s="2"/>
      <c r="E10" s="14"/>
      <c r="F10" s="14"/>
      <c r="G10" s="14"/>
      <c r="H10" s="2"/>
      <c r="I10" s="14"/>
      <c r="J10" s="14"/>
      <c r="K10" s="14"/>
      <c r="L10" s="2"/>
      <c r="M10" s="14"/>
      <c r="N10" s="14"/>
      <c r="O10" s="14"/>
      <c r="P10" s="2"/>
      <c r="Q10" s="2"/>
      <c r="R10" s="2"/>
      <c r="S10" s="2"/>
      <c r="T10" s="3"/>
      <c r="U10" s="3">
        <f>Utilidades!G5</f>
        <v>967.19647881285914</v>
      </c>
    </row>
    <row r="11" spans="1:21" x14ac:dyDescent="0.3">
      <c r="A11" s="14"/>
      <c r="B11" s="14"/>
      <c r="C11" s="14"/>
      <c r="D11" s="2"/>
      <c r="E11" s="14"/>
      <c r="F11" s="14"/>
      <c r="G11" s="14"/>
      <c r="H11" s="2"/>
      <c r="I11" s="14"/>
      <c r="J11" s="14"/>
      <c r="K11" s="14"/>
      <c r="L11" s="2"/>
      <c r="M11" s="14"/>
      <c r="N11" s="14"/>
      <c r="O11" s="14"/>
      <c r="P11" s="2"/>
      <c r="Q11" s="2"/>
      <c r="R11" s="2"/>
      <c r="S11" s="2"/>
      <c r="T11" s="2"/>
      <c r="U11" s="2">
        <f>Utilidades!G6</f>
        <v>50.948296754793994</v>
      </c>
    </row>
    <row r="12" spans="1:21" x14ac:dyDescent="0.3">
      <c r="A12" s="14"/>
      <c r="B12" s="14"/>
      <c r="C12" s="14"/>
      <c r="D12" s="2"/>
      <c r="E12" s="14"/>
      <c r="F12" s="14"/>
      <c r="G12" s="14"/>
      <c r="H12" s="2"/>
      <c r="I12" s="14"/>
      <c r="J12" s="14"/>
      <c r="K12" s="14"/>
      <c r="L12" s="2"/>
      <c r="M12" s="14"/>
      <c r="N12" s="14"/>
      <c r="O12" s="14"/>
      <c r="P12" s="2"/>
      <c r="Q12" s="2"/>
      <c r="R12" s="2"/>
      <c r="S12" s="2"/>
      <c r="T12" s="2"/>
      <c r="U12" s="2">
        <f>Utilidades!G7</f>
        <v>1778.2874219829446</v>
      </c>
    </row>
    <row r="13" spans="1:2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f>Utilidades!G8</f>
        <v>147.97219268224023</v>
      </c>
    </row>
    <row r="14" spans="1:21" x14ac:dyDescent="0.3">
      <c r="A14" s="10" t="s">
        <v>652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>
        <f>Utilidades!G9</f>
        <v>556.21224189259237</v>
      </c>
    </row>
    <row r="15" spans="1:21" ht="158.4" x14ac:dyDescent="0.3">
      <c r="A15" s="12" t="str">
        <f>"O processo entrega "&amp;FIXED(Premissas!B4,0,TRUE)&amp;" kg de produto final com recuperacao global de "&amp;FIXED(100*KPIs!B4,1,TRUE)&amp;"%."</f>
        <v>O processo entrega 1000 kg de produto final com recuperacao global de 90,3%.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Utilidades!G10</f>
        <v>3541.8875907983029</v>
      </c>
    </row>
    <row r="16" spans="1:21" ht="201.6" x14ac:dyDescent="0.3">
      <c r="A16" s="12" t="str">
        <f>"Os maiores esforcos energeticos estao em esterilizacao, resfriamento pos-esterilizacao e fermentacao."</f>
        <v>Os maiores esforcos energeticos estao em esterilizacao, resfriamento pos-esterilizacao e fermentacao.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1.6" x14ac:dyDescent="0.3">
      <c r="A17" s="12" t="str">
        <f>"O custo conceitual da campanha e de R$ "&amp;FIXED(KPIs!B16,2,TRUE)&amp;", com forte influencia de materias-primas e utilidades."</f>
        <v>O custo conceitual da campanha e de R$ 54666,64, com forte influencia de materias-primas e utilidades.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72.8" x14ac:dyDescent="0.3">
      <c r="A18" s="12" t="str">
        <f>"Todos os fechamentos automaticos permanecem consistentes: "&amp;COUNTIF(Verificacoes!E4:E12,"OK")&amp;" verificacoes em OK."</f>
        <v>Todos os fechamentos automaticos permanecem consistentes: 9 verificacoes em OK.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</sheetData>
  <mergeCells count="8">
    <mergeCell ref="A4:C7"/>
    <mergeCell ref="E4:G7"/>
    <mergeCell ref="I4:K7"/>
    <mergeCell ref="M4:O7"/>
    <mergeCell ref="A9:C12"/>
    <mergeCell ref="E9:G12"/>
    <mergeCell ref="I9:K12"/>
    <mergeCell ref="M9:O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Premissas</vt:lpstr>
      <vt:lpstr>Calculos_Produto</vt:lpstr>
      <vt:lpstr>Recuperacoes</vt:lpstr>
      <vt:lpstr>Fermentacao</vt:lpstr>
      <vt:lpstr>Correntes_PFD</vt:lpstr>
      <vt:lpstr>Balanco_Energia</vt:lpstr>
      <vt:lpstr>Secagem</vt:lpstr>
      <vt:lpstr>Verificacoes</vt:lpstr>
      <vt:lpstr>Dicionario_Variaveis</vt:lpstr>
      <vt:lpstr>Conceitos</vt:lpstr>
      <vt:lpstr>Utilidades</vt:lpstr>
      <vt:lpstr>Custos</vt:lpstr>
      <vt:lpstr>PFD_Visual</vt:lpstr>
      <vt:lpstr>Resumo_Executivo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2026-03-25T15:53:19Z</dcterms:created>
  <dcterms:modified xsi:type="dcterms:W3CDTF">2026-03-25T15:53:24Z</dcterms:modified>
</cp:coreProperties>
</file>